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IC MASTER PROJECT\Experiment Data\Data 8 repeat specimens\"/>
    </mc:Choice>
  </mc:AlternateContent>
  <xr:revisionPtr revIDLastSave="0" documentId="13_ncr:1_{3F2F9153-EC00-4DB0-838A-2CE673BD74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CB Initial G" sheetId="1" r:id="rId1"/>
    <sheet name="DCB Prop G" sheetId="2" r:id="rId2"/>
    <sheet name="ELS Initial G" sheetId="3" r:id="rId3"/>
    <sheet name="Sheet1" sheetId="5" r:id="rId4"/>
    <sheet name="ELS Prop G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4" l="1"/>
  <c r="G15" i="4"/>
  <c r="F18" i="2"/>
  <c r="F17" i="2"/>
  <c r="C13" i="3"/>
  <c r="D13" i="3"/>
  <c r="E13" i="3"/>
  <c r="B13" i="3"/>
  <c r="C13" i="2"/>
  <c r="D13" i="2"/>
  <c r="E13" i="2"/>
  <c r="B13" i="2"/>
  <c r="C13" i="1"/>
  <c r="D13" i="1"/>
  <c r="E13" i="1"/>
  <c r="B13" i="1"/>
  <c r="C13" i="4"/>
  <c r="D13" i="4"/>
  <c r="E13" i="4"/>
  <c r="B13" i="4"/>
  <c r="G13" i="4"/>
  <c r="G12" i="4"/>
  <c r="G11" i="4"/>
  <c r="E11" i="5"/>
  <c r="D11" i="5"/>
  <c r="C11" i="5"/>
  <c r="B11" i="5"/>
  <c r="E10" i="5"/>
  <c r="D10" i="5"/>
  <c r="C10" i="5"/>
  <c r="B10" i="5"/>
  <c r="G13" i="2"/>
  <c r="G12" i="2"/>
  <c r="G11" i="2"/>
  <c r="E12" i="2"/>
  <c r="D12" i="2"/>
  <c r="C12" i="2"/>
  <c r="B12" i="2"/>
  <c r="E11" i="2"/>
  <c r="D11" i="2"/>
  <c r="C11" i="2"/>
  <c r="B11" i="2"/>
  <c r="E12" i="1"/>
  <c r="E11" i="1"/>
  <c r="D12" i="1"/>
  <c r="D11" i="1"/>
  <c r="C12" i="1"/>
  <c r="C11" i="1"/>
  <c r="B12" i="1"/>
  <c r="B11" i="1"/>
  <c r="E12" i="3"/>
  <c r="D12" i="3"/>
  <c r="C12" i="3"/>
  <c r="B12" i="3"/>
  <c r="E11" i="3"/>
  <c r="D11" i="3"/>
  <c r="C11" i="3"/>
  <c r="B11" i="3"/>
  <c r="E12" i="4"/>
  <c r="E11" i="4"/>
  <c r="D12" i="4"/>
  <c r="D11" i="4"/>
  <c r="C12" i="4"/>
  <c r="C11" i="4"/>
  <c r="B12" i="4"/>
  <c r="B11" i="4"/>
</calcChain>
</file>

<file path=xl/sharedStrings.xml><?xml version="1.0" encoding="utf-8"?>
<sst xmlns="http://schemas.openxmlformats.org/spreadsheetml/2006/main" count="79" uniqueCount="17">
  <si>
    <t>G1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</si>
  <si>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</si>
  <si>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</si>
  <si>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</si>
  <si>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S1</t>
    <phoneticPr fontId="1" type="noConversion"/>
  </si>
  <si>
    <t>S2</t>
  </si>
  <si>
    <t>S3</t>
  </si>
  <si>
    <t>S4</t>
  </si>
  <si>
    <t>S5</t>
  </si>
  <si>
    <t>S6</t>
  </si>
  <si>
    <t>S7</t>
  </si>
  <si>
    <t>S8</t>
  </si>
  <si>
    <t>S9</t>
  </si>
  <si>
    <t>average</t>
    <phoneticPr fontId="1" type="noConversion"/>
  </si>
  <si>
    <t>SD</t>
    <phoneticPr fontId="1" type="noConversion"/>
  </si>
  <si>
    <t>normalized</t>
    <phoneticPr fontId="1" type="noConversion"/>
  </si>
  <si>
    <t>Highlight  means exclude this group of 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</si>
</sst>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H11" sqref="H11"/>
    </sheetView>
  </sheetViews>
  <sheetFormatPr defaultRowHeight="14" x14ac:dyDescent="0.3"/>
  <cols>
    <col min="2" max="5" width="12.33203125" bestFit="1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</row>
    <row r="2" spans="1:7" x14ac:dyDescent="0.3">
      <c r="A2" t="s">
        <v>4</v>
      </c>
      <c r="B2" s="1">
        <v>127.43811622403514</v>
      </c>
      <c r="C2" s="1">
        <v>217.25834865909871</v>
      </c>
      <c r="D2">
        <v>229.77328790743516</v>
      </c>
      <c r="E2">
        <v>248.79236357454249</v>
      </c>
      <c r="G2" s="1" t="s">
        <v>16</v>
      </c>
    </row>
    <row r="3" spans="1:7" x14ac:dyDescent="0.3">
      <c r="A3" t="s">
        <v>5</v>
      </c>
      <c r="B3">
        <v>135.76621096483365</v>
      </c>
      <c r="C3">
        <v>226.04332123683159</v>
      </c>
      <c r="D3">
        <v>258.8765549524569</v>
      </c>
      <c r="E3">
        <v>255.06651626573122</v>
      </c>
    </row>
    <row r="4" spans="1:7" x14ac:dyDescent="0.3">
      <c r="A4" t="s">
        <v>6</v>
      </c>
      <c r="B4">
        <v>133.18069866076746</v>
      </c>
      <c r="C4">
        <v>269.91991345352722</v>
      </c>
      <c r="D4">
        <v>238.44439935824008</v>
      </c>
      <c r="E4">
        <v>262.72299028827643</v>
      </c>
    </row>
    <row r="5" spans="1:7" x14ac:dyDescent="0.3">
      <c r="A5" t="s">
        <v>7</v>
      </c>
      <c r="B5">
        <v>135.43791874442886</v>
      </c>
      <c r="C5">
        <v>222.52625254613721</v>
      </c>
      <c r="D5">
        <v>241.21469365233193</v>
      </c>
      <c r="E5">
        <v>241.89267080534611</v>
      </c>
    </row>
    <row r="6" spans="1:7" x14ac:dyDescent="0.3">
      <c r="A6" t="s">
        <v>8</v>
      </c>
      <c r="B6">
        <v>127.8890559580308</v>
      </c>
      <c r="C6">
        <v>239.99663791628183</v>
      </c>
      <c r="D6">
        <v>243.31139254134334</v>
      </c>
      <c r="E6" s="1">
        <v>199.17415236653434</v>
      </c>
    </row>
    <row r="7" spans="1:7" x14ac:dyDescent="0.3">
      <c r="A7" t="s">
        <v>9</v>
      </c>
      <c r="B7">
        <v>120.85489456061303</v>
      </c>
      <c r="C7">
        <v>247.56026587506298</v>
      </c>
      <c r="D7">
        <v>225.26267229883791</v>
      </c>
      <c r="E7">
        <v>207.57930570863303</v>
      </c>
    </row>
    <row r="8" spans="1:7" x14ac:dyDescent="0.3">
      <c r="A8" t="s">
        <v>10</v>
      </c>
      <c r="B8">
        <v>122.32113738895876</v>
      </c>
      <c r="C8">
        <v>251.37698212812515</v>
      </c>
      <c r="D8" s="1">
        <v>250.27769617260904</v>
      </c>
      <c r="E8">
        <v>258.41838434079489</v>
      </c>
    </row>
    <row r="9" spans="1:7" x14ac:dyDescent="0.3">
      <c r="A9" t="s">
        <v>11</v>
      </c>
      <c r="B9">
        <v>119.87881289888062</v>
      </c>
      <c r="C9">
        <v>263.92681914400299</v>
      </c>
      <c r="D9">
        <v>220.28814609515697</v>
      </c>
      <c r="E9">
        <v>175.81389646300909</v>
      </c>
    </row>
    <row r="10" spans="1:7" x14ac:dyDescent="0.3">
      <c r="A10" t="s">
        <v>12</v>
      </c>
      <c r="B10">
        <v>113.04339131374401</v>
      </c>
      <c r="C10">
        <v>245.49749319213208</v>
      </c>
      <c r="D10">
        <v>230.96867909664664</v>
      </c>
      <c r="E10">
        <v>248.38231842773445</v>
      </c>
    </row>
    <row r="11" spans="1:7" x14ac:dyDescent="0.3">
      <c r="A11" t="s">
        <v>13</v>
      </c>
      <c r="B11">
        <f>AVERAGE(B3:B10)</f>
        <v>126.04651506128214</v>
      </c>
      <c r="C11">
        <f>AVERAGE(C3:C10)</f>
        <v>245.85596068651262</v>
      </c>
      <c r="D11">
        <f>AVERAGE(D2:D7,D9:D10)</f>
        <v>236.0174782378061</v>
      </c>
      <c r="E11">
        <f>AVERAGE(E2:E5,E7:E10)</f>
        <v>237.33355573425845</v>
      </c>
    </row>
    <row r="12" spans="1:7" x14ac:dyDescent="0.3">
      <c r="A12" t="s">
        <v>14</v>
      </c>
      <c r="B12">
        <f>_xlfn.STDEV.S(B3:B10)</f>
        <v>8.3230799893771295</v>
      </c>
      <c r="C12">
        <f>_xlfn.STDEV.S(C3:C10)</f>
        <v>16.519651536651104</v>
      </c>
      <c r="D12">
        <f>_xlfn.STDEV.S(D2:D7,D9:D10)</f>
        <v>12.166685159493875</v>
      </c>
      <c r="E12">
        <f>_xlfn.STDEV.S(E2:E5,E7:E10)</f>
        <v>30.113594721599767</v>
      </c>
    </row>
    <row r="13" spans="1:7" x14ac:dyDescent="0.3">
      <c r="A13" t="s">
        <v>15</v>
      </c>
      <c r="B13">
        <f>B11:E11/126.046515061282</f>
        <v>1.0000000000000011</v>
      </c>
      <c r="C13">
        <f t="shared" ref="C13:E13" si="0">C11:F11/126.046515061282</f>
        <v>1.9505177161540801</v>
      </c>
      <c r="D13">
        <f t="shared" si="0"/>
        <v>1.872463337229576</v>
      </c>
      <c r="E13">
        <f t="shared" si="0"/>
        <v>1.8829045421753257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815A-2581-4227-BFA2-4F19A2FF74C3}">
  <dimension ref="A1:G18"/>
  <sheetViews>
    <sheetView workbookViewId="0">
      <selection activeCell="C11" sqref="C11"/>
    </sheetView>
  </sheetViews>
  <sheetFormatPr defaultRowHeight="14" x14ac:dyDescent="0.3"/>
  <cols>
    <col min="2" max="5" width="12.33203125" bestFit="1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</row>
    <row r="2" spans="1:7" x14ac:dyDescent="0.3">
      <c r="A2" t="s">
        <v>4</v>
      </c>
      <c r="B2" s="1">
        <v>128.0822534145384</v>
      </c>
      <c r="C2" s="1">
        <v>227.97449761352937</v>
      </c>
      <c r="D2">
        <v>227.98583203437769</v>
      </c>
      <c r="E2" s="2">
        <v>232.5246977344917</v>
      </c>
    </row>
    <row r="3" spans="1:7" x14ac:dyDescent="0.3">
      <c r="A3" t="s">
        <v>5</v>
      </c>
      <c r="B3">
        <v>130.15533099506331</v>
      </c>
      <c r="C3">
        <v>239.47516325879832</v>
      </c>
      <c r="D3">
        <v>251.90320354568686</v>
      </c>
      <c r="E3">
        <v>249.7867605604014</v>
      </c>
    </row>
    <row r="4" spans="1:7" x14ac:dyDescent="0.3">
      <c r="A4" t="s">
        <v>6</v>
      </c>
      <c r="B4" s="2">
        <v>126.54394262816089</v>
      </c>
      <c r="C4">
        <v>273.84171968315201</v>
      </c>
      <c r="D4">
        <v>229.18631282423866</v>
      </c>
      <c r="E4">
        <v>236.86987397790543</v>
      </c>
    </row>
    <row r="5" spans="1:7" x14ac:dyDescent="0.3">
      <c r="A5" t="s">
        <v>7</v>
      </c>
      <c r="B5">
        <v>132.46778606775044</v>
      </c>
      <c r="C5">
        <v>233.21386225989085</v>
      </c>
      <c r="D5">
        <v>230.66956993591333</v>
      </c>
      <c r="E5">
        <v>222.22452608362772</v>
      </c>
    </row>
    <row r="6" spans="1:7" x14ac:dyDescent="0.3">
      <c r="A6" t="s">
        <v>8</v>
      </c>
      <c r="B6" s="3">
        <v>129.01418672740618</v>
      </c>
      <c r="C6">
        <v>242.09248278798538</v>
      </c>
      <c r="D6">
        <v>240.61272847042022</v>
      </c>
      <c r="E6" s="1">
        <v>207.10999057186112</v>
      </c>
    </row>
    <row r="7" spans="1:7" x14ac:dyDescent="0.3">
      <c r="A7" t="s">
        <v>9</v>
      </c>
      <c r="B7">
        <v>122.0921631204836</v>
      </c>
      <c r="C7" s="2">
        <v>249.58394317802842</v>
      </c>
      <c r="D7">
        <v>240.83765415829899</v>
      </c>
      <c r="E7">
        <v>222.21313396509478</v>
      </c>
    </row>
    <row r="8" spans="1:7" x14ac:dyDescent="0.3">
      <c r="A8" t="s">
        <v>10</v>
      </c>
      <c r="B8">
        <v>130.07837544222286</v>
      </c>
      <c r="C8">
        <v>253.46324524603813</v>
      </c>
      <c r="D8" s="1">
        <v>255.10466733485191</v>
      </c>
      <c r="E8">
        <v>222.74215149777868</v>
      </c>
    </row>
    <row r="9" spans="1:7" x14ac:dyDescent="0.3">
      <c r="A9" t="s">
        <v>11</v>
      </c>
      <c r="B9">
        <v>124.84962775093986</v>
      </c>
      <c r="C9">
        <v>258.86964585918759</v>
      </c>
      <c r="D9">
        <v>238.13281121013503</v>
      </c>
      <c r="E9">
        <v>236.72765494868133</v>
      </c>
    </row>
    <row r="10" spans="1:7" x14ac:dyDescent="0.3">
      <c r="A10" t="s">
        <v>12</v>
      </c>
      <c r="B10">
        <v>118.89993521743418</v>
      </c>
      <c r="C10">
        <v>255.15203463470925</v>
      </c>
      <c r="D10" s="2">
        <v>235.13367614924769</v>
      </c>
      <c r="E10">
        <v>228.98734123925462</v>
      </c>
    </row>
    <row r="11" spans="1:7" x14ac:dyDescent="0.3">
      <c r="A11" t="s">
        <v>13</v>
      </c>
      <c r="B11">
        <f>AVERAGE(B3:B10)</f>
        <v>126.76266849368267</v>
      </c>
      <c r="C11">
        <f>AVERAGE(C3:C10)</f>
        <v>250.71151211347376</v>
      </c>
      <c r="D11">
        <f>AVERAGE(D2:D7,D9:D10)</f>
        <v>236.80772354103985</v>
      </c>
      <c r="E11">
        <f>AVERAGE(E2:E5,E7:E10)</f>
        <v>231.50951750090448</v>
      </c>
      <c r="G11">
        <f>(C11-B11)/B11</f>
        <v>0.97780241685246783</v>
      </c>
    </row>
    <row r="12" spans="1:7" x14ac:dyDescent="0.3">
      <c r="A12" t="s">
        <v>14</v>
      </c>
      <c r="B12">
        <f>_xlfn.STDEV.S(B3:B10)</f>
        <v>4.5898262215741479</v>
      </c>
      <c r="C12">
        <f>_xlfn.STDEV.S(C3:C10)</f>
        <v>12.74381804262182</v>
      </c>
      <c r="D12">
        <f>_xlfn.STDEV.S(D2:D7,D9:D10)</f>
        <v>7.8988137682059696</v>
      </c>
      <c r="E12">
        <f>_xlfn.STDEV.S(E2:E5,E7:E10)</f>
        <v>9.6133276306414803</v>
      </c>
      <c r="G12">
        <f>(D11-B11)/B11</f>
        <v>0.86811879518646595</v>
      </c>
    </row>
    <row r="13" spans="1:7" x14ac:dyDescent="0.3">
      <c r="A13" t="s">
        <v>15</v>
      </c>
      <c r="B13">
        <f>B11:E11/126.762668493683</f>
        <v>0.99999999999999745</v>
      </c>
      <c r="C13">
        <f t="shared" ref="C13:E13" si="0">C11:F11/126.762668493683</f>
        <v>1.9778024168524628</v>
      </c>
      <c r="D13">
        <f t="shared" si="0"/>
        <v>1.8681187951864611</v>
      </c>
      <c r="E13">
        <f t="shared" si="0"/>
        <v>1.8263225305361994</v>
      </c>
      <c r="G13">
        <f>(E11-B11)/B11</f>
        <v>0.82632253053620408</v>
      </c>
    </row>
    <row r="17" spans="6:6" x14ac:dyDescent="0.3">
      <c r="F17">
        <f>D11/C11</f>
        <v>0.94454267993030583</v>
      </c>
    </row>
    <row r="18" spans="6:6" x14ac:dyDescent="0.3">
      <c r="F18">
        <f>E11/C11</f>
        <v>0.92341000039966925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956D-6086-4271-B345-EA3B998D8BD0}">
  <dimension ref="A1:G19"/>
  <sheetViews>
    <sheetView workbookViewId="0">
      <selection activeCell="G13" sqref="G13"/>
    </sheetView>
  </sheetViews>
  <sheetFormatPr defaultRowHeight="14" x14ac:dyDescent="0.3"/>
  <cols>
    <col min="2" max="5" width="12.33203125" bestFit="1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s="1">
        <v>740.37739663754712</v>
      </c>
      <c r="C2" s="1">
        <v>5337.5180267915366</v>
      </c>
      <c r="D2">
        <v>4656.0060265226439</v>
      </c>
      <c r="E2">
        <v>4831.0970649876817</v>
      </c>
    </row>
    <row r="3" spans="1:5" x14ac:dyDescent="0.3">
      <c r="A3" t="s">
        <v>5</v>
      </c>
      <c r="B3">
        <v>1797.4914104811357</v>
      </c>
      <c r="C3">
        <v>3388.1515904790417</v>
      </c>
      <c r="D3">
        <v>3194.2274785711743</v>
      </c>
      <c r="E3" s="1">
        <v>4259.3611844794723</v>
      </c>
    </row>
    <row r="4" spans="1:5" x14ac:dyDescent="0.3">
      <c r="A4" t="s">
        <v>6</v>
      </c>
      <c r="B4">
        <v>1809.4054956669656</v>
      </c>
      <c r="C4">
        <v>4322.3284119756772</v>
      </c>
      <c r="D4" s="1">
        <v>3628.596031029253</v>
      </c>
      <c r="E4">
        <v>3497.5461781518211</v>
      </c>
    </row>
    <row r="5" spans="1:5" x14ac:dyDescent="0.3">
      <c r="A5" t="s">
        <v>7</v>
      </c>
      <c r="B5">
        <v>1678.0218153505575</v>
      </c>
      <c r="C5">
        <v>3630.0105299430656</v>
      </c>
      <c r="D5">
        <v>2858.4860989935933</v>
      </c>
      <c r="E5">
        <v>3023.8372323432063</v>
      </c>
    </row>
    <row r="6" spans="1:5" x14ac:dyDescent="0.3">
      <c r="A6" t="s">
        <v>8</v>
      </c>
      <c r="B6">
        <v>1633.5806716708391</v>
      </c>
      <c r="C6">
        <v>4222.465691822551</v>
      </c>
      <c r="D6">
        <v>3680.9374722862663</v>
      </c>
      <c r="E6">
        <v>1752.8315047104431</v>
      </c>
    </row>
    <row r="7" spans="1:5" x14ac:dyDescent="0.3">
      <c r="A7" t="s">
        <v>9</v>
      </c>
      <c r="B7">
        <v>1285.9999182295112</v>
      </c>
      <c r="C7">
        <v>3501.884040295859</v>
      </c>
      <c r="D7">
        <v>3434.4358880438376</v>
      </c>
      <c r="E7">
        <v>1887.8245929465809</v>
      </c>
    </row>
    <row r="8" spans="1:5" x14ac:dyDescent="0.3">
      <c r="A8" t="s">
        <v>10</v>
      </c>
      <c r="B8" s="2">
        <v>1791.1641880777156</v>
      </c>
      <c r="C8">
        <v>4938.3538624356588</v>
      </c>
      <c r="D8">
        <v>3625.7891198824841</v>
      </c>
      <c r="E8">
        <v>2551.1964735871707</v>
      </c>
    </row>
    <row r="9" spans="1:5" x14ac:dyDescent="0.3">
      <c r="A9" t="s">
        <v>11</v>
      </c>
      <c r="B9">
        <v>1297.7304927831324</v>
      </c>
      <c r="C9">
        <v>4281.3529833317107</v>
      </c>
      <c r="D9">
        <v>3481.4919401430207</v>
      </c>
      <c r="E9">
        <v>4942.5706708148355</v>
      </c>
    </row>
    <row r="10" spans="1:5" x14ac:dyDescent="0.3">
      <c r="A10" t="s">
        <v>12</v>
      </c>
      <c r="B10">
        <v>1075.2643742785958</v>
      </c>
      <c r="C10" s="2">
        <v>4161.1333466314927</v>
      </c>
      <c r="D10" s="2">
        <v>3525.6307974588603</v>
      </c>
      <c r="E10" s="2">
        <v>5148.3490141349002</v>
      </c>
    </row>
    <row r="11" spans="1:5" x14ac:dyDescent="0.3">
      <c r="A11" t="s">
        <v>13</v>
      </c>
      <c r="B11">
        <f>AVERAGE(B3:B10)</f>
        <v>1546.0822958173067</v>
      </c>
      <c r="C11">
        <f>AVERAGE(C3:C10)</f>
        <v>4055.7100571143824</v>
      </c>
      <c r="D11">
        <f>AVERAGE(D2:D3,D5:D10)</f>
        <v>3557.1256027377349</v>
      </c>
      <c r="E11">
        <f>AVERAGE(E2,E4:E10)</f>
        <v>3454.4065914595799</v>
      </c>
    </row>
    <row r="12" spans="1:5" x14ac:dyDescent="0.3">
      <c r="A12" t="s">
        <v>14</v>
      </c>
      <c r="B12">
        <f>_xlfn.STDEV.S(B3:B10)</f>
        <v>285.02274682778977</v>
      </c>
      <c r="C12">
        <f>_xlfn.STDEV.S(C3:C10)</f>
        <v>517.35029950258172</v>
      </c>
      <c r="D12">
        <f>_xlfn.STDEV.S(D2:D3,D5:D10)</f>
        <v>516.73972280743055</v>
      </c>
      <c r="E12">
        <f>_xlfn.STDEV.S(E2,E4:E10)</f>
        <v>1380.0582992971561</v>
      </c>
    </row>
    <row r="13" spans="1:5" x14ac:dyDescent="0.3">
      <c r="A13" t="s">
        <v>15</v>
      </c>
      <c r="B13">
        <f>B11:E11/1546.08229581731</f>
        <v>0.99999999999999778</v>
      </c>
      <c r="C13">
        <f t="shared" ref="C13:E13" si="0">C11:F11/1546.08229581731</f>
        <v>2.6232174497350416</v>
      </c>
      <c r="D13">
        <f t="shared" si="0"/>
        <v>2.3007349688700245</v>
      </c>
      <c r="E13">
        <f t="shared" si="0"/>
        <v>2.2342967129272164</v>
      </c>
    </row>
    <row r="19" spans="7:7" x14ac:dyDescent="0.3">
      <c r="G19">
        <v>1546.0822958173101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85C8-7765-4DDE-BE65-8B0305405190}">
  <dimension ref="A1:E11"/>
  <sheetViews>
    <sheetView workbookViewId="0">
      <selection activeCell="D19" sqref="D19"/>
    </sheetView>
  </sheetViews>
  <sheetFormatPr defaultRowHeight="14" x14ac:dyDescent="0.3"/>
  <cols>
    <col min="2" max="5" width="12.33203125" bestFit="1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1797.4914104811357</v>
      </c>
      <c r="C2">
        <v>3388.1515904790417</v>
      </c>
      <c r="D2">
        <v>4656.0060265226439</v>
      </c>
      <c r="E2">
        <v>4831.0970649876817</v>
      </c>
    </row>
    <row r="3" spans="1:5" x14ac:dyDescent="0.3">
      <c r="A3" t="s">
        <v>5</v>
      </c>
      <c r="B3">
        <v>1809.4054956669656</v>
      </c>
      <c r="C3">
        <v>4322.3284119756772</v>
      </c>
      <c r="D3">
        <v>3194.2274785711743</v>
      </c>
      <c r="E3">
        <v>3497.5461781518211</v>
      </c>
    </row>
    <row r="4" spans="1:5" x14ac:dyDescent="0.3">
      <c r="A4" t="s">
        <v>6</v>
      </c>
      <c r="B4">
        <v>1678.0218153505575</v>
      </c>
      <c r="C4">
        <v>3630.0105299430656</v>
      </c>
      <c r="D4">
        <v>2858.4860989935933</v>
      </c>
      <c r="E4">
        <v>3023.8372323432063</v>
      </c>
    </row>
    <row r="5" spans="1:5" x14ac:dyDescent="0.3">
      <c r="A5" t="s">
        <v>7</v>
      </c>
      <c r="B5">
        <v>1633.5806716708391</v>
      </c>
      <c r="C5">
        <v>4222.465691822551</v>
      </c>
      <c r="D5">
        <v>3680.9374722862663</v>
      </c>
      <c r="E5">
        <v>1752.8315047104431</v>
      </c>
    </row>
    <row r="6" spans="1:5" x14ac:dyDescent="0.3">
      <c r="A6" t="s">
        <v>8</v>
      </c>
      <c r="B6">
        <v>1285.9999182295112</v>
      </c>
      <c r="C6">
        <v>3501.884040295859</v>
      </c>
      <c r="D6">
        <v>3434.4358880438376</v>
      </c>
      <c r="E6">
        <v>1887.8245929465809</v>
      </c>
    </row>
    <row r="7" spans="1:5" x14ac:dyDescent="0.3">
      <c r="A7" t="s">
        <v>9</v>
      </c>
      <c r="B7" s="2">
        <v>1791.1641880777156</v>
      </c>
      <c r="C7">
        <v>4938.3538624356588</v>
      </c>
      <c r="D7">
        <v>3625.7891198824841</v>
      </c>
      <c r="E7">
        <v>2551.1964735871707</v>
      </c>
    </row>
    <row r="8" spans="1:5" x14ac:dyDescent="0.3">
      <c r="A8" t="s">
        <v>10</v>
      </c>
      <c r="B8">
        <v>1297.7304927831324</v>
      </c>
      <c r="C8">
        <v>4281.3529833317107</v>
      </c>
      <c r="D8">
        <v>3481.4919401430207</v>
      </c>
      <c r="E8">
        <v>4942.5706708148355</v>
      </c>
    </row>
    <row r="9" spans="1:5" x14ac:dyDescent="0.3">
      <c r="A9" t="s">
        <v>11</v>
      </c>
      <c r="B9">
        <v>1075.2643742785958</v>
      </c>
      <c r="C9" s="2">
        <v>4161.1333466314927</v>
      </c>
      <c r="D9" s="2">
        <v>3525.6307974588603</v>
      </c>
      <c r="E9" s="2">
        <v>5148.3490141349002</v>
      </c>
    </row>
    <row r="10" spans="1:5" x14ac:dyDescent="0.3">
      <c r="A10" t="s">
        <v>13</v>
      </c>
      <c r="B10">
        <f>AVERAGE(B2:B9)</f>
        <v>1546.0822958173067</v>
      </c>
      <c r="C10">
        <f>AVERAGE(C2:C9)</f>
        <v>4055.7100571143824</v>
      </c>
      <c r="D10">
        <f>AVERAGE(D2:D9)</f>
        <v>3557.1256027377349</v>
      </c>
      <c r="E10">
        <f>AVERAGE(E2:E9)</f>
        <v>3454.4065914595799</v>
      </c>
    </row>
    <row r="11" spans="1:5" x14ac:dyDescent="0.3">
      <c r="A11" t="s">
        <v>14</v>
      </c>
      <c r="B11">
        <f>_xlfn.STDEV.S(B2:B9)</f>
        <v>285.02274682778977</v>
      </c>
      <c r="C11">
        <f>_xlfn.STDEV.S(C2:C9)</f>
        <v>517.35029950258172</v>
      </c>
      <c r="D11">
        <f>_xlfn.STDEV.S(D2:D9)</f>
        <v>516.73972280743055</v>
      </c>
      <c r="E11">
        <f>_xlfn.STDEV.S(E2:E9)</f>
        <v>1380.0582992971561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DC3F-2948-4126-A07F-E8111D528A1D}">
  <dimension ref="A1:G16"/>
  <sheetViews>
    <sheetView workbookViewId="0">
      <selection activeCell="D18" sqref="D18"/>
    </sheetView>
  </sheetViews>
  <sheetFormatPr defaultRowHeight="14" x14ac:dyDescent="0.3"/>
  <cols>
    <col min="2" max="5" width="12.33203125" bestFit="1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</row>
    <row r="2" spans="1:7" x14ac:dyDescent="0.3">
      <c r="A2" t="s">
        <v>4</v>
      </c>
      <c r="B2" s="1">
        <v>859.86336387297888</v>
      </c>
      <c r="C2" s="1">
        <v>5195.5840498312209</v>
      </c>
      <c r="D2">
        <v>3929.9913242166867</v>
      </c>
      <c r="E2">
        <v>3319.5703813634827</v>
      </c>
    </row>
    <row r="3" spans="1:7" x14ac:dyDescent="0.3">
      <c r="A3" t="s">
        <v>5</v>
      </c>
      <c r="B3">
        <v>446.64972919605549</v>
      </c>
      <c r="C3">
        <v>3405.3791566830837</v>
      </c>
      <c r="D3">
        <v>2917.217045453031</v>
      </c>
      <c r="E3" s="1">
        <v>4649.2120363690256</v>
      </c>
    </row>
    <row r="4" spans="1:7" x14ac:dyDescent="0.3">
      <c r="A4" t="s">
        <v>6</v>
      </c>
      <c r="B4">
        <v>398.08276397534058</v>
      </c>
      <c r="C4">
        <v>3846.6058193133449</v>
      </c>
      <c r="D4" s="1">
        <v>3827.1964223760506</v>
      </c>
      <c r="E4">
        <v>2639.0273489071028</v>
      </c>
    </row>
    <row r="5" spans="1:7" x14ac:dyDescent="0.3">
      <c r="A5" t="s">
        <v>7</v>
      </c>
      <c r="B5">
        <v>484.10451677533564</v>
      </c>
      <c r="C5">
        <v>3689.5238105305316</v>
      </c>
      <c r="D5">
        <v>2855.4208057330902</v>
      </c>
      <c r="E5">
        <v>2372.8356235674423</v>
      </c>
    </row>
    <row r="6" spans="1:7" x14ac:dyDescent="0.3">
      <c r="A6" t="s">
        <v>8</v>
      </c>
      <c r="B6">
        <v>412.76019829516281</v>
      </c>
      <c r="C6">
        <v>4390.4292230069022</v>
      </c>
      <c r="D6">
        <v>3685.1418455811822</v>
      </c>
      <c r="E6">
        <v>3504.8255473581971</v>
      </c>
    </row>
    <row r="7" spans="1:7" x14ac:dyDescent="0.3">
      <c r="A7" t="s">
        <v>9</v>
      </c>
      <c r="B7">
        <v>497.87576759008908</v>
      </c>
      <c r="C7">
        <v>3732.5705264262074</v>
      </c>
      <c r="D7">
        <v>2996.3966619643038</v>
      </c>
      <c r="E7">
        <v>3857.8972129039294</v>
      </c>
    </row>
    <row r="8" spans="1:7" x14ac:dyDescent="0.3">
      <c r="A8" t="s">
        <v>10</v>
      </c>
      <c r="B8" s="2">
        <v>448.5105425903713</v>
      </c>
      <c r="C8">
        <v>3995.710728509001</v>
      </c>
      <c r="D8">
        <v>4064.2314969932181</v>
      </c>
      <c r="E8">
        <v>3892.5707846388168</v>
      </c>
    </row>
    <row r="9" spans="1:7" x14ac:dyDescent="0.3">
      <c r="A9" t="s">
        <v>11</v>
      </c>
      <c r="B9">
        <v>500.69411047863332</v>
      </c>
      <c r="C9">
        <v>3919.8966404658395</v>
      </c>
      <c r="D9">
        <v>3739.7994481875744</v>
      </c>
      <c r="E9">
        <v>4209.6974586263477</v>
      </c>
    </row>
    <row r="10" spans="1:7" x14ac:dyDescent="0.3">
      <c r="A10" t="s">
        <v>12</v>
      </c>
      <c r="B10">
        <v>466.32429568195431</v>
      </c>
      <c r="C10" s="2">
        <v>3715.1325788843874</v>
      </c>
      <c r="D10" s="2">
        <v>3404.1740106970251</v>
      </c>
      <c r="E10" s="2">
        <v>3491.1541607574873</v>
      </c>
    </row>
    <row r="11" spans="1:7" x14ac:dyDescent="0.3">
      <c r="A11" t="s">
        <v>13</v>
      </c>
      <c r="B11">
        <f>AVERAGE(B3:B10)</f>
        <v>456.87524057286782</v>
      </c>
      <c r="C11">
        <f>AVERAGE(C3:C10)</f>
        <v>3836.9060604774122</v>
      </c>
      <c r="D11">
        <f>AVERAGE(D2:D3,D5:D10)</f>
        <v>3449.0465798532641</v>
      </c>
      <c r="E11">
        <f>AVERAGE(E2,E4:E10)</f>
        <v>3410.9473147653512</v>
      </c>
      <c r="G11">
        <f>(C11-B11)/B11</f>
        <v>7.3981483778074368</v>
      </c>
    </row>
    <row r="12" spans="1:7" x14ac:dyDescent="0.3">
      <c r="A12" t="s">
        <v>14</v>
      </c>
      <c r="B12">
        <f>_xlfn.STDEV.S(B3:B10)</f>
        <v>37.813595845491704</v>
      </c>
      <c r="C12">
        <f>_xlfn.STDEV.S(C3:C10)</f>
        <v>285.91707502009427</v>
      </c>
      <c r="D12">
        <f>_xlfn.STDEV.S(D2:D3,D5:D10)</f>
        <v>476.92141361305892</v>
      </c>
      <c r="E12">
        <f>_xlfn.STDEV.S(E2,E4:E10)</f>
        <v>628.70155220854781</v>
      </c>
      <c r="G12">
        <f>(D11-B11)/B11</f>
        <v>6.5492087851566776</v>
      </c>
    </row>
    <row r="13" spans="1:7" x14ac:dyDescent="0.3">
      <c r="A13" t="s">
        <v>15</v>
      </c>
      <c r="B13">
        <f>B11:E11/456.875240572868</f>
        <v>0.99999999999999967</v>
      </c>
      <c r="C13">
        <f t="shared" ref="C13:E13" si="0">C11:F11/456.875240572868</f>
        <v>8.3981483778074342</v>
      </c>
      <c r="D13">
        <f t="shared" si="0"/>
        <v>7.549208785156674</v>
      </c>
      <c r="E13">
        <f t="shared" si="0"/>
        <v>7.4658178247707694</v>
      </c>
      <c r="G13">
        <f>(E11-B11)/B11</f>
        <v>6.465817824770772</v>
      </c>
    </row>
    <row r="15" spans="1:7" x14ac:dyDescent="0.3">
      <c r="G15">
        <f>D11/C11</f>
        <v>0.8989134801554437</v>
      </c>
    </row>
    <row r="16" spans="1:7" x14ac:dyDescent="0.3">
      <c r="G16">
        <f>E11/C11</f>
        <v>0.88898379605909339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DCB Initial G</vt:lpstr>
      <vt:lpstr>DCB Prop G</vt:lpstr>
      <vt:lpstr>ELS Initial G</vt:lpstr>
      <vt:lpstr>Sheet1</vt:lpstr>
      <vt:lpstr>ELS Prop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Linjie Dong</cp:lastModifiedBy>
  <dcterms:created xsi:type="dcterms:W3CDTF">2015-06-05T18:19:34Z</dcterms:created>
  <dcterms:modified xsi:type="dcterms:W3CDTF">2026-09-10T23:09:27Z</dcterms:modified>
</cp:coreProperties>
</file>