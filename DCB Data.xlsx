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IC MASTER PROJECT\Experiment Data\DCB\"/>
    </mc:Choice>
  </mc:AlternateContent>
  <xr:revisionPtr revIDLastSave="0" documentId="13_ncr:1_{68CFB63E-5539-4FF3-B4B3-5D5E97853EED}" xr6:coauthVersionLast="47" xr6:coauthVersionMax="47" xr10:uidLastSave="{00000000-0000-0000-0000-000000000000}"/>
  <bookViews>
    <workbookView xWindow="8790" yWindow="3880" windowWidth="13200" windowHeight="10070" firstSheet="21" activeTab="29" xr2:uid="{00000000-000D-0000-FFFF-FFFF00000000}"/>
  </bookViews>
  <sheets>
    <sheet name="G1S1Not Use" sheetId="1" r:id="rId1"/>
    <sheet name="G1S2 not use" sheetId="2" r:id="rId2"/>
    <sheet name="G1S2" sheetId="39" r:id="rId3"/>
    <sheet name="Calculating dimension" sheetId="3" r:id="rId4"/>
    <sheet name="G1S3" sheetId="4" r:id="rId5"/>
    <sheet name="G1S4" sheetId="5" r:id="rId6"/>
    <sheet name="G1S5" sheetId="6" r:id="rId7"/>
    <sheet name="G1S6" sheetId="7" r:id="rId8"/>
    <sheet name="G1S7" sheetId="8" r:id="rId9"/>
    <sheet name="G1S8" sheetId="9" r:id="rId10"/>
    <sheet name="G1S9" sheetId="10" r:id="rId11"/>
    <sheet name="G2S1" sheetId="11" r:id="rId12"/>
    <sheet name="G2S2" sheetId="12" r:id="rId13"/>
    <sheet name="G2S3" sheetId="13" r:id="rId14"/>
    <sheet name="G2S4" sheetId="14" r:id="rId15"/>
    <sheet name="G2S5" sheetId="15" r:id="rId16"/>
    <sheet name="G2S6" sheetId="16" r:id="rId17"/>
    <sheet name="G2S7" sheetId="17" r:id="rId18"/>
    <sheet name="G2S8" sheetId="18" r:id="rId19"/>
    <sheet name="G2S9" sheetId="19" r:id="rId20"/>
    <sheet name="G3S1" sheetId="20" r:id="rId21"/>
    <sheet name="G3S2" sheetId="21" r:id="rId22"/>
    <sheet name="G3S3" sheetId="22" r:id="rId23"/>
    <sheet name="G3S4" sheetId="23" r:id="rId24"/>
    <sheet name="G3S5" sheetId="24" r:id="rId25"/>
    <sheet name="G3S6" sheetId="25" r:id="rId26"/>
    <sheet name="G3S7" sheetId="26" r:id="rId27"/>
    <sheet name="G3S8" sheetId="27" r:id="rId28"/>
    <sheet name="G3S9" sheetId="28" r:id="rId29"/>
    <sheet name="G4S1" sheetId="30" r:id="rId30"/>
    <sheet name="G4S2" sheetId="31" r:id="rId31"/>
    <sheet name="G4S3" sheetId="32" r:id="rId32"/>
    <sheet name="G4S4" sheetId="33" r:id="rId33"/>
    <sheet name="G4S5" sheetId="34" r:id="rId34"/>
    <sheet name="G4S6" sheetId="35" r:id="rId35"/>
    <sheet name="G4S7" sheetId="36" r:id="rId36"/>
    <sheet name="G4S8" sheetId="37" r:id="rId37"/>
    <sheet name="G4S9" sheetId="38" r:id="rId3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0" l="1"/>
  <c r="V2" i="9"/>
  <c r="V2" i="8"/>
  <c r="V2" i="7"/>
  <c r="V2" i="6"/>
  <c r="V2" i="5"/>
  <c r="V2" i="4"/>
  <c r="V2" i="1"/>
  <c r="U3" i="39"/>
  <c r="U4" i="39"/>
  <c r="U5" i="39"/>
  <c r="U6" i="39"/>
  <c r="U7" i="39"/>
  <c r="U9" i="39"/>
  <c r="U10" i="39"/>
  <c r="U11" i="39"/>
  <c r="U12" i="39"/>
  <c r="U13" i="39"/>
  <c r="T3" i="39"/>
  <c r="T4" i="39"/>
  <c r="T5" i="39"/>
  <c r="T6" i="39"/>
  <c r="T7" i="39"/>
  <c r="T9" i="39"/>
  <c r="T10" i="39"/>
  <c r="T11" i="39"/>
  <c r="T12" i="39"/>
  <c r="T13" i="39"/>
  <c r="S3" i="39"/>
  <c r="S4" i="39"/>
  <c r="S5" i="39"/>
  <c r="S6" i="39"/>
  <c r="S7" i="39"/>
  <c r="S8" i="39"/>
  <c r="S9" i="39"/>
  <c r="S10" i="39"/>
  <c r="S11" i="39"/>
  <c r="S12" i="39"/>
  <c r="S13" i="39"/>
  <c r="S2" i="39"/>
  <c r="G2" i="39"/>
  <c r="R3" i="39"/>
  <c r="R4" i="39"/>
  <c r="R5" i="39"/>
  <c r="R6" i="39"/>
  <c r="R7" i="39"/>
  <c r="R9" i="39"/>
  <c r="R10" i="39"/>
  <c r="R11" i="39"/>
  <c r="R12" i="39"/>
  <c r="R13" i="39"/>
  <c r="Q3" i="39"/>
  <c r="Q4" i="39"/>
  <c r="Q5" i="39"/>
  <c r="Q6" i="39"/>
  <c r="Q7" i="39"/>
  <c r="Q9" i="39"/>
  <c r="Q10" i="39"/>
  <c r="Q11" i="39"/>
  <c r="Q12" i="39"/>
  <c r="Q13" i="39"/>
  <c r="P3" i="39"/>
  <c r="P4" i="39"/>
  <c r="P5" i="39"/>
  <c r="P6" i="39"/>
  <c r="P7" i="39"/>
  <c r="P9" i="39"/>
  <c r="P10" i="39"/>
  <c r="P11" i="39"/>
  <c r="P12" i="39"/>
  <c r="P13" i="39"/>
  <c r="O3" i="39"/>
  <c r="O4" i="39"/>
  <c r="O5" i="39"/>
  <c r="O6" i="39"/>
  <c r="O7" i="39"/>
  <c r="O8" i="39"/>
  <c r="O9" i="39"/>
  <c r="O10" i="39"/>
  <c r="O11" i="39"/>
  <c r="O12" i="39"/>
  <c r="O13" i="39"/>
  <c r="N3" i="39"/>
  <c r="N4" i="39"/>
  <c r="N5" i="39"/>
  <c r="N6" i="39"/>
  <c r="N7" i="39"/>
  <c r="N8" i="39"/>
  <c r="P8" i="39" s="1"/>
  <c r="T8" i="39" s="1"/>
  <c r="U8" i="39" s="1"/>
  <c r="V2" i="39" s="1"/>
  <c r="N9" i="39"/>
  <c r="N10" i="39"/>
  <c r="N11" i="39"/>
  <c r="N12" i="39"/>
  <c r="N13" i="39"/>
  <c r="M3" i="39"/>
  <c r="M4" i="39"/>
  <c r="M5" i="39"/>
  <c r="M6" i="39"/>
  <c r="M7" i="39"/>
  <c r="M9" i="39"/>
  <c r="M10" i="39"/>
  <c r="M11" i="39"/>
  <c r="M12" i="39"/>
  <c r="M13" i="39"/>
  <c r="L3" i="39"/>
  <c r="L4" i="39"/>
  <c r="L5" i="39"/>
  <c r="L6" i="39"/>
  <c r="L7" i="39"/>
  <c r="L8" i="39"/>
  <c r="M8" i="39" s="1"/>
  <c r="L9" i="39"/>
  <c r="L10" i="39"/>
  <c r="L11" i="39"/>
  <c r="L12" i="39"/>
  <c r="L13" i="39"/>
  <c r="O2" i="39"/>
  <c r="N2" i="39"/>
  <c r="P2" i="39" s="1"/>
  <c r="L2" i="39"/>
  <c r="V2" i="12"/>
  <c r="V2" i="13"/>
  <c r="V2" i="14"/>
  <c r="V2" i="15"/>
  <c r="V2" i="16"/>
  <c r="V2" i="17"/>
  <c r="V2" i="18"/>
  <c r="V2" i="19"/>
  <c r="V2" i="20"/>
  <c r="V2" i="21"/>
  <c r="V2" i="22"/>
  <c r="V2" i="23"/>
  <c r="V2" i="24"/>
  <c r="V2" i="25"/>
  <c r="V2" i="26"/>
  <c r="V2" i="27"/>
  <c r="V2" i="28"/>
  <c r="V2" i="30"/>
  <c r="V2" i="31"/>
  <c r="V2" i="32"/>
  <c r="V2" i="33"/>
  <c r="V2" i="34"/>
  <c r="V2" i="35"/>
  <c r="V2" i="36"/>
  <c r="V2" i="37"/>
  <c r="V2" i="38"/>
  <c r="V2" i="11"/>
  <c r="U3" i="38"/>
  <c r="U4" i="38"/>
  <c r="U5" i="38"/>
  <c r="U6" i="38"/>
  <c r="U7" i="38"/>
  <c r="U8" i="38"/>
  <c r="U9" i="38"/>
  <c r="U10" i="38"/>
  <c r="U11" i="38"/>
  <c r="U12" i="38"/>
  <c r="U13" i="38"/>
  <c r="U14" i="38"/>
  <c r="U15" i="38"/>
  <c r="U16" i="38"/>
  <c r="U17" i="38"/>
  <c r="T3" i="38"/>
  <c r="T4" i="38"/>
  <c r="T5" i="38"/>
  <c r="T6" i="38"/>
  <c r="T7" i="38"/>
  <c r="T8" i="38"/>
  <c r="T9" i="38"/>
  <c r="T10" i="38"/>
  <c r="T11" i="38"/>
  <c r="T12" i="38"/>
  <c r="T13" i="38"/>
  <c r="T14" i="38"/>
  <c r="T15" i="38"/>
  <c r="T16" i="38"/>
  <c r="T17" i="38"/>
  <c r="T2" i="38"/>
  <c r="S3" i="38"/>
  <c r="S4" i="38"/>
  <c r="S5" i="38"/>
  <c r="S6" i="38"/>
  <c r="S7" i="38"/>
  <c r="S8" i="38"/>
  <c r="S9" i="38"/>
  <c r="S10" i="38"/>
  <c r="S11" i="38"/>
  <c r="S12" i="38"/>
  <c r="S13" i="38"/>
  <c r="S14" i="38"/>
  <c r="S15" i="38"/>
  <c r="S16" i="38"/>
  <c r="S17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2" i="38"/>
  <c r="R3" i="38"/>
  <c r="R4" i="38"/>
  <c r="R5" i="38"/>
  <c r="R6" i="38"/>
  <c r="R7" i="38"/>
  <c r="R8" i="38"/>
  <c r="R9" i="38"/>
  <c r="R10" i="38"/>
  <c r="R11" i="38"/>
  <c r="R12" i="38"/>
  <c r="R13" i="38"/>
  <c r="R14" i="38"/>
  <c r="R15" i="38"/>
  <c r="R16" i="38"/>
  <c r="R17" i="38"/>
  <c r="Q3" i="38"/>
  <c r="Q4" i="38"/>
  <c r="Q5" i="38"/>
  <c r="Q6" i="38"/>
  <c r="Q7" i="38"/>
  <c r="Q8" i="38"/>
  <c r="Q9" i="38"/>
  <c r="Q10" i="38"/>
  <c r="Q11" i="38"/>
  <c r="Q12" i="38"/>
  <c r="Q13" i="38"/>
  <c r="Q14" i="38"/>
  <c r="Q15" i="38"/>
  <c r="Q16" i="38"/>
  <c r="Q17" i="38"/>
  <c r="P3" i="38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N3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M3" i="38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L3" i="38"/>
  <c r="L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O2" i="38"/>
  <c r="N2" i="38"/>
  <c r="L2" i="38"/>
  <c r="S2" i="38"/>
  <c r="U3" i="37"/>
  <c r="U4" i="37"/>
  <c r="U5" i="37"/>
  <c r="U6" i="37"/>
  <c r="U7" i="37"/>
  <c r="U8" i="37"/>
  <c r="U9" i="37"/>
  <c r="U10" i="37"/>
  <c r="U11" i="37"/>
  <c r="U12" i="37"/>
  <c r="U13" i="37"/>
  <c r="U14" i="37"/>
  <c r="U15" i="37"/>
  <c r="U16" i="37"/>
  <c r="U17" i="37"/>
  <c r="T3" i="37"/>
  <c r="T4" i="37"/>
  <c r="T5" i="37"/>
  <c r="T6" i="37"/>
  <c r="T7" i="37"/>
  <c r="T8" i="37"/>
  <c r="T9" i="37"/>
  <c r="T10" i="37"/>
  <c r="T11" i="37"/>
  <c r="T12" i="37"/>
  <c r="T13" i="37"/>
  <c r="T14" i="37"/>
  <c r="T15" i="37"/>
  <c r="T16" i="37"/>
  <c r="T17" i="37"/>
  <c r="T2" i="37"/>
  <c r="S3" i="37"/>
  <c r="S4" i="37"/>
  <c r="S5" i="37"/>
  <c r="S6" i="37"/>
  <c r="S7" i="37"/>
  <c r="S8" i="37"/>
  <c r="S9" i="37"/>
  <c r="S10" i="37"/>
  <c r="S11" i="37"/>
  <c r="S12" i="37"/>
  <c r="S13" i="37"/>
  <c r="S14" i="37"/>
  <c r="S15" i="37"/>
  <c r="S16" i="37"/>
  <c r="S17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2" i="37"/>
  <c r="R3" i="37"/>
  <c r="R4" i="37"/>
  <c r="R5" i="37"/>
  <c r="R6" i="37"/>
  <c r="R7" i="37"/>
  <c r="R8" i="37"/>
  <c r="R9" i="37"/>
  <c r="R10" i="37"/>
  <c r="R11" i="37"/>
  <c r="R12" i="37"/>
  <c r="R13" i="37"/>
  <c r="R14" i="37"/>
  <c r="R15" i="37"/>
  <c r="R16" i="37"/>
  <c r="R17" i="37"/>
  <c r="Q3" i="37"/>
  <c r="Q4" i="37"/>
  <c r="Q5" i="37"/>
  <c r="Q6" i="37"/>
  <c r="Q7" i="37"/>
  <c r="Q8" i="37"/>
  <c r="Q9" i="37"/>
  <c r="Q10" i="37"/>
  <c r="Q11" i="37"/>
  <c r="Q12" i="37"/>
  <c r="Q13" i="37"/>
  <c r="Q14" i="37"/>
  <c r="Q15" i="37"/>
  <c r="Q16" i="37"/>
  <c r="Q17" i="37"/>
  <c r="P3" i="37"/>
  <c r="P4" i="37"/>
  <c r="P5" i="37"/>
  <c r="P6" i="37"/>
  <c r="P7" i="37"/>
  <c r="P8" i="37"/>
  <c r="P9" i="37"/>
  <c r="P10" i="37"/>
  <c r="P11" i="37"/>
  <c r="P12" i="37"/>
  <c r="P13" i="37"/>
  <c r="P14" i="37"/>
  <c r="P15" i="37"/>
  <c r="P16" i="37"/>
  <c r="P17" i="37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N3" i="37"/>
  <c r="N4" i="37"/>
  <c r="N5" i="37"/>
  <c r="N6" i="37"/>
  <c r="N7" i="37"/>
  <c r="N8" i="37"/>
  <c r="N9" i="37"/>
  <c r="N10" i="37"/>
  <c r="N11" i="37"/>
  <c r="N12" i="37"/>
  <c r="N13" i="37"/>
  <c r="N14" i="37"/>
  <c r="N15" i="37"/>
  <c r="N16" i="37"/>
  <c r="N17" i="37"/>
  <c r="M3" i="37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L3" i="37"/>
  <c r="L4" i="37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O2" i="37"/>
  <c r="N2" i="37"/>
  <c r="L2" i="37"/>
  <c r="S2" i="37"/>
  <c r="U3" i="36"/>
  <c r="U4" i="36"/>
  <c r="U5" i="36"/>
  <c r="U6" i="36"/>
  <c r="U7" i="36"/>
  <c r="U8" i="36"/>
  <c r="U9" i="36"/>
  <c r="U10" i="36"/>
  <c r="U11" i="36"/>
  <c r="U12" i="36"/>
  <c r="U13" i="36"/>
  <c r="U14" i="36"/>
  <c r="U15" i="36"/>
  <c r="U16" i="36"/>
  <c r="U17" i="36"/>
  <c r="T3" i="36"/>
  <c r="T4" i="36"/>
  <c r="T5" i="36"/>
  <c r="T6" i="36"/>
  <c r="T7" i="36"/>
  <c r="T8" i="36"/>
  <c r="T9" i="36"/>
  <c r="T10" i="36"/>
  <c r="T11" i="36"/>
  <c r="T12" i="36"/>
  <c r="T13" i="36"/>
  <c r="T14" i="36"/>
  <c r="T15" i="36"/>
  <c r="T16" i="36"/>
  <c r="T17" i="36"/>
  <c r="T2" i="36"/>
  <c r="S3" i="36"/>
  <c r="S4" i="36"/>
  <c r="S5" i="36"/>
  <c r="S6" i="36"/>
  <c r="S7" i="36"/>
  <c r="S8" i="36"/>
  <c r="S9" i="36"/>
  <c r="S10" i="36"/>
  <c r="S11" i="36"/>
  <c r="S12" i="36"/>
  <c r="S13" i="36"/>
  <c r="S14" i="36"/>
  <c r="S15" i="36"/>
  <c r="S16" i="36"/>
  <c r="S17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2" i="36"/>
  <c r="R3" i="36"/>
  <c r="R4" i="36"/>
  <c r="R5" i="36"/>
  <c r="R6" i="36"/>
  <c r="R7" i="36"/>
  <c r="R8" i="36"/>
  <c r="R9" i="36"/>
  <c r="R10" i="36"/>
  <c r="R11" i="36"/>
  <c r="R12" i="36"/>
  <c r="R13" i="36"/>
  <c r="R14" i="36"/>
  <c r="R15" i="36"/>
  <c r="R16" i="36"/>
  <c r="R17" i="36"/>
  <c r="Q3" i="36"/>
  <c r="Q4" i="36"/>
  <c r="Q5" i="36"/>
  <c r="Q6" i="36"/>
  <c r="Q7" i="36"/>
  <c r="Q8" i="36"/>
  <c r="Q9" i="36"/>
  <c r="Q10" i="36"/>
  <c r="Q11" i="36"/>
  <c r="Q12" i="36"/>
  <c r="Q13" i="36"/>
  <c r="Q14" i="36"/>
  <c r="Q15" i="36"/>
  <c r="Q16" i="36"/>
  <c r="Q17" i="36"/>
  <c r="P3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N3" i="36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O2" i="36"/>
  <c r="N2" i="36"/>
  <c r="L2" i="36"/>
  <c r="M2" i="36" s="1"/>
  <c r="S2" i="36"/>
  <c r="U3" i="35"/>
  <c r="U4" i="35"/>
  <c r="U5" i="35"/>
  <c r="U6" i="35"/>
  <c r="U7" i="35"/>
  <c r="U8" i="35"/>
  <c r="U9" i="35"/>
  <c r="U10" i="35"/>
  <c r="U11" i="35"/>
  <c r="U12" i="35"/>
  <c r="U13" i="35"/>
  <c r="U14" i="35"/>
  <c r="U15" i="35"/>
  <c r="U16" i="35"/>
  <c r="T3" i="35"/>
  <c r="T4" i="35"/>
  <c r="T5" i="35"/>
  <c r="T6" i="35"/>
  <c r="T7" i="35"/>
  <c r="T8" i="35"/>
  <c r="T9" i="35"/>
  <c r="T10" i="35"/>
  <c r="T11" i="35"/>
  <c r="T12" i="35"/>
  <c r="T13" i="35"/>
  <c r="T14" i="35"/>
  <c r="T15" i="35"/>
  <c r="T16" i="35"/>
  <c r="T2" i="35"/>
  <c r="S3" i="35"/>
  <c r="S4" i="35"/>
  <c r="S5" i="35"/>
  <c r="S6" i="35"/>
  <c r="S7" i="35"/>
  <c r="S8" i="35"/>
  <c r="S9" i="35"/>
  <c r="S10" i="35"/>
  <c r="S11" i="35"/>
  <c r="S12" i="35"/>
  <c r="S13" i="35"/>
  <c r="S14" i="35"/>
  <c r="S15" i="35"/>
  <c r="S16" i="35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2" i="35"/>
  <c r="R3" i="35"/>
  <c r="R4" i="35"/>
  <c r="R5" i="35"/>
  <c r="R6" i="35"/>
  <c r="R7" i="35"/>
  <c r="R8" i="35"/>
  <c r="R9" i="35"/>
  <c r="R10" i="35"/>
  <c r="R11" i="35"/>
  <c r="R12" i="35"/>
  <c r="R13" i="35"/>
  <c r="R14" i="35"/>
  <c r="R15" i="35"/>
  <c r="R16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N3" i="35"/>
  <c r="N4" i="35"/>
  <c r="N5" i="35"/>
  <c r="N6" i="35"/>
  <c r="N7" i="35"/>
  <c r="N8" i="35"/>
  <c r="N9" i="35"/>
  <c r="N10" i="35"/>
  <c r="N11" i="35"/>
  <c r="N12" i="35"/>
  <c r="N13" i="35"/>
  <c r="N14" i="35"/>
  <c r="N15" i="35"/>
  <c r="N16" i="35"/>
  <c r="M3" i="35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L3" i="35"/>
  <c r="L4" i="35"/>
  <c r="L5" i="35"/>
  <c r="L6" i="35"/>
  <c r="L7" i="35"/>
  <c r="L8" i="35"/>
  <c r="L9" i="35"/>
  <c r="L10" i="35"/>
  <c r="L11" i="35"/>
  <c r="L12" i="35"/>
  <c r="L13" i="35"/>
  <c r="L14" i="35"/>
  <c r="L15" i="35"/>
  <c r="L16" i="35"/>
  <c r="O2" i="35"/>
  <c r="N2" i="35"/>
  <c r="L2" i="35"/>
  <c r="S2" i="35"/>
  <c r="U3" i="34"/>
  <c r="U4" i="34"/>
  <c r="U5" i="34"/>
  <c r="U6" i="34"/>
  <c r="U7" i="34"/>
  <c r="U8" i="34"/>
  <c r="U9" i="34"/>
  <c r="U10" i="34"/>
  <c r="U11" i="34"/>
  <c r="U12" i="34"/>
  <c r="U13" i="34"/>
  <c r="U14" i="34"/>
  <c r="U15" i="34"/>
  <c r="U16" i="34"/>
  <c r="U17" i="34"/>
  <c r="T3" i="34"/>
  <c r="T4" i="34"/>
  <c r="T5" i="34"/>
  <c r="T6" i="34"/>
  <c r="T7" i="34"/>
  <c r="T8" i="34"/>
  <c r="T9" i="34"/>
  <c r="T10" i="34"/>
  <c r="T11" i="34"/>
  <c r="T12" i="34"/>
  <c r="T13" i="34"/>
  <c r="T14" i="34"/>
  <c r="T15" i="34"/>
  <c r="T16" i="34"/>
  <c r="T17" i="34"/>
  <c r="T2" i="34"/>
  <c r="S3" i="34"/>
  <c r="S4" i="34"/>
  <c r="S5" i="34"/>
  <c r="S6" i="34"/>
  <c r="S7" i="34"/>
  <c r="S8" i="34"/>
  <c r="S9" i="34"/>
  <c r="S10" i="34"/>
  <c r="S11" i="34"/>
  <c r="S12" i="34"/>
  <c r="S13" i="34"/>
  <c r="S14" i="34"/>
  <c r="S15" i="34"/>
  <c r="S16" i="34"/>
  <c r="S17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2" i="34"/>
  <c r="R3" i="34"/>
  <c r="R4" i="34"/>
  <c r="R5" i="34"/>
  <c r="R6" i="34"/>
  <c r="R7" i="34"/>
  <c r="R8" i="34"/>
  <c r="R9" i="34"/>
  <c r="R10" i="34"/>
  <c r="R11" i="34"/>
  <c r="R12" i="34"/>
  <c r="R13" i="34"/>
  <c r="R14" i="34"/>
  <c r="R15" i="34"/>
  <c r="R16" i="34"/>
  <c r="R17" i="34"/>
  <c r="Q3" i="34"/>
  <c r="Q4" i="34"/>
  <c r="Q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P3" i="34"/>
  <c r="P4" i="34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L3" i="34"/>
  <c r="L4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O2" i="34"/>
  <c r="N2" i="34"/>
  <c r="P2" i="34" s="1"/>
  <c r="L2" i="34"/>
  <c r="S2" i="34"/>
  <c r="U3" i="33"/>
  <c r="U4" i="33"/>
  <c r="U5" i="33"/>
  <c r="U6" i="33"/>
  <c r="U7" i="33"/>
  <c r="U8" i="33"/>
  <c r="U9" i="33"/>
  <c r="U10" i="33"/>
  <c r="U11" i="33"/>
  <c r="U12" i="33"/>
  <c r="U13" i="33"/>
  <c r="U14" i="33"/>
  <c r="U15" i="33"/>
  <c r="U16" i="33"/>
  <c r="U17" i="33"/>
  <c r="T3" i="33"/>
  <c r="T4" i="33"/>
  <c r="T5" i="33"/>
  <c r="T6" i="33"/>
  <c r="T7" i="33"/>
  <c r="T8" i="33"/>
  <c r="T9" i="33"/>
  <c r="T10" i="33"/>
  <c r="T11" i="33"/>
  <c r="T12" i="33"/>
  <c r="T13" i="33"/>
  <c r="T14" i="33"/>
  <c r="T15" i="33"/>
  <c r="T16" i="33"/>
  <c r="T17" i="33"/>
  <c r="T2" i="33"/>
  <c r="S3" i="33"/>
  <c r="S4" i="33"/>
  <c r="S5" i="33"/>
  <c r="S6" i="33"/>
  <c r="S7" i="33"/>
  <c r="S8" i="33"/>
  <c r="S9" i="33"/>
  <c r="S10" i="33"/>
  <c r="S11" i="33"/>
  <c r="S12" i="33"/>
  <c r="S13" i="33"/>
  <c r="S14" i="33"/>
  <c r="S15" i="33"/>
  <c r="S16" i="33"/>
  <c r="S17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2" i="33"/>
  <c r="R3" i="33"/>
  <c r="R4" i="33"/>
  <c r="R5" i="33"/>
  <c r="R6" i="33"/>
  <c r="R7" i="33"/>
  <c r="R8" i="33"/>
  <c r="R9" i="33"/>
  <c r="R10" i="33"/>
  <c r="R11" i="33"/>
  <c r="R12" i="33"/>
  <c r="R13" i="33"/>
  <c r="R14" i="33"/>
  <c r="R15" i="33"/>
  <c r="R16" i="33"/>
  <c r="R17" i="33"/>
  <c r="Q3" i="33"/>
  <c r="Q4" i="33"/>
  <c r="Q5" i="33"/>
  <c r="Q6" i="33"/>
  <c r="Q7" i="33"/>
  <c r="Q8" i="33"/>
  <c r="Q9" i="33"/>
  <c r="Q10" i="33"/>
  <c r="Q11" i="33"/>
  <c r="Q12" i="33"/>
  <c r="Q13" i="33"/>
  <c r="Q14" i="33"/>
  <c r="Q15" i="33"/>
  <c r="Q16" i="33"/>
  <c r="Q17" i="33"/>
  <c r="P3" i="33"/>
  <c r="P4" i="33"/>
  <c r="P5" i="33"/>
  <c r="P6" i="33"/>
  <c r="P7" i="33"/>
  <c r="P8" i="33"/>
  <c r="P9" i="33"/>
  <c r="P10" i="33"/>
  <c r="P11" i="33"/>
  <c r="P12" i="33"/>
  <c r="P13" i="33"/>
  <c r="P14" i="33"/>
  <c r="P15" i="33"/>
  <c r="P16" i="33"/>
  <c r="P17" i="33"/>
  <c r="O3" i="33"/>
  <c r="O4" i="33"/>
  <c r="O5" i="33"/>
  <c r="O6" i="33"/>
  <c r="O7" i="33"/>
  <c r="O8" i="33"/>
  <c r="O9" i="33"/>
  <c r="O10" i="33"/>
  <c r="O11" i="33"/>
  <c r="O12" i="33"/>
  <c r="O13" i="33"/>
  <c r="O14" i="33"/>
  <c r="O15" i="33"/>
  <c r="O16" i="33"/>
  <c r="O17" i="33"/>
  <c r="N3" i="33"/>
  <c r="N4" i="33"/>
  <c r="N5" i="33"/>
  <c r="N6" i="33"/>
  <c r="N7" i="33"/>
  <c r="N8" i="33"/>
  <c r="N9" i="33"/>
  <c r="N10" i="33"/>
  <c r="N11" i="33"/>
  <c r="N12" i="33"/>
  <c r="N13" i="33"/>
  <c r="N14" i="33"/>
  <c r="N15" i="33"/>
  <c r="N16" i="33"/>
  <c r="N17" i="33"/>
  <c r="M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L3" i="33"/>
  <c r="L4" i="33"/>
  <c r="L5" i="33"/>
  <c r="L6" i="33"/>
  <c r="L7" i="33"/>
  <c r="L8" i="33"/>
  <c r="L9" i="33"/>
  <c r="L10" i="33"/>
  <c r="L11" i="33"/>
  <c r="L12" i="33"/>
  <c r="L13" i="33"/>
  <c r="L14" i="33"/>
  <c r="L15" i="33"/>
  <c r="L16" i="33"/>
  <c r="L17" i="33"/>
  <c r="O2" i="33"/>
  <c r="N2" i="33"/>
  <c r="L2" i="33"/>
  <c r="S2" i="33"/>
  <c r="U3" i="32"/>
  <c r="U4" i="32"/>
  <c r="U5" i="32"/>
  <c r="U6" i="32"/>
  <c r="U7" i="32"/>
  <c r="U8" i="32"/>
  <c r="U9" i="32"/>
  <c r="U10" i="32"/>
  <c r="U11" i="32"/>
  <c r="U12" i="32"/>
  <c r="U13" i="32"/>
  <c r="U14" i="32"/>
  <c r="U15" i="32"/>
  <c r="U16" i="32"/>
  <c r="U17" i="32"/>
  <c r="T3" i="32"/>
  <c r="T4" i="32"/>
  <c r="T5" i="32"/>
  <c r="T6" i="32"/>
  <c r="T7" i="32"/>
  <c r="T8" i="32"/>
  <c r="T9" i="32"/>
  <c r="T10" i="32"/>
  <c r="T11" i="32"/>
  <c r="T12" i="32"/>
  <c r="T13" i="32"/>
  <c r="T14" i="32"/>
  <c r="T15" i="32"/>
  <c r="T16" i="32"/>
  <c r="T17" i="32"/>
  <c r="T2" i="32"/>
  <c r="S3" i="32"/>
  <c r="S4" i="32"/>
  <c r="S5" i="32"/>
  <c r="S6" i="32"/>
  <c r="S7" i="32"/>
  <c r="S8" i="32"/>
  <c r="S9" i="32"/>
  <c r="S10" i="32"/>
  <c r="S11" i="32"/>
  <c r="S12" i="32"/>
  <c r="S13" i="32"/>
  <c r="S14" i="32"/>
  <c r="S15" i="32"/>
  <c r="S16" i="32"/>
  <c r="S17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2" i="32"/>
  <c r="S2" i="32" s="1"/>
  <c r="R3" i="32"/>
  <c r="R4" i="32"/>
  <c r="R5" i="32"/>
  <c r="R6" i="32"/>
  <c r="R7" i="32"/>
  <c r="R8" i="32"/>
  <c r="R9" i="32"/>
  <c r="R10" i="32"/>
  <c r="R11" i="32"/>
  <c r="R12" i="32"/>
  <c r="R13" i="32"/>
  <c r="R14" i="32"/>
  <c r="R15" i="32"/>
  <c r="R16" i="32"/>
  <c r="R17" i="32"/>
  <c r="Q3" i="32"/>
  <c r="Q4" i="32"/>
  <c r="Q5" i="32"/>
  <c r="Q6" i="32"/>
  <c r="Q7" i="32"/>
  <c r="Q8" i="32"/>
  <c r="Q9" i="32"/>
  <c r="Q10" i="32"/>
  <c r="Q11" i="32"/>
  <c r="Q12" i="32"/>
  <c r="Q13" i="32"/>
  <c r="Q14" i="32"/>
  <c r="Q15" i="32"/>
  <c r="Q16" i="32"/>
  <c r="Q17" i="32"/>
  <c r="P3" i="32"/>
  <c r="P4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N3" i="32"/>
  <c r="N4" i="32"/>
  <c r="N5" i="32"/>
  <c r="N6" i="32"/>
  <c r="N7" i="32"/>
  <c r="N8" i="32"/>
  <c r="N9" i="32"/>
  <c r="N10" i="32"/>
  <c r="N11" i="32"/>
  <c r="N12" i="32"/>
  <c r="N13" i="32"/>
  <c r="N14" i="32"/>
  <c r="N15" i="32"/>
  <c r="N16" i="32"/>
  <c r="N17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L3" i="32"/>
  <c r="L4" i="32"/>
  <c r="L5" i="32"/>
  <c r="L6" i="32"/>
  <c r="L7" i="32"/>
  <c r="L8" i="32"/>
  <c r="L9" i="32"/>
  <c r="L10" i="32"/>
  <c r="L11" i="32"/>
  <c r="L12" i="32"/>
  <c r="L13" i="32"/>
  <c r="L14" i="32"/>
  <c r="L15" i="32"/>
  <c r="L16" i="32"/>
  <c r="L17" i="32"/>
  <c r="O2" i="32"/>
  <c r="N2" i="32"/>
  <c r="P2" i="32" s="1"/>
  <c r="L2" i="32"/>
  <c r="U3" i="31"/>
  <c r="U4" i="31"/>
  <c r="U5" i="31"/>
  <c r="U6" i="31"/>
  <c r="U7" i="31"/>
  <c r="U8" i="31"/>
  <c r="U9" i="31"/>
  <c r="U10" i="31"/>
  <c r="U11" i="31"/>
  <c r="U12" i="31"/>
  <c r="U13" i="31"/>
  <c r="U14" i="31"/>
  <c r="U15" i="31"/>
  <c r="U16" i="31"/>
  <c r="U17" i="31"/>
  <c r="T3" i="31"/>
  <c r="T4" i="31"/>
  <c r="T5" i="31"/>
  <c r="T6" i="31"/>
  <c r="T7" i="31"/>
  <c r="T8" i="31"/>
  <c r="T9" i="31"/>
  <c r="T10" i="31"/>
  <c r="T11" i="31"/>
  <c r="T12" i="31"/>
  <c r="T13" i="31"/>
  <c r="T14" i="31"/>
  <c r="T15" i="31"/>
  <c r="T16" i="31"/>
  <c r="T17" i="31"/>
  <c r="T2" i="31"/>
  <c r="S3" i="31"/>
  <c r="S4" i="31"/>
  <c r="S5" i="31"/>
  <c r="S6" i="31"/>
  <c r="S7" i="31"/>
  <c r="S8" i="31"/>
  <c r="S9" i="31"/>
  <c r="S10" i="31"/>
  <c r="S11" i="31"/>
  <c r="S12" i="31"/>
  <c r="S13" i="31"/>
  <c r="S14" i="31"/>
  <c r="S15" i="31"/>
  <c r="S16" i="31"/>
  <c r="S17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2" i="3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Q3" i="31"/>
  <c r="Q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P3" i="31"/>
  <c r="P4" i="31"/>
  <c r="P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O3" i="31"/>
  <c r="O4" i="31"/>
  <c r="O5" i="31"/>
  <c r="O6" i="31"/>
  <c r="O7" i="31"/>
  <c r="O8" i="31"/>
  <c r="O9" i="31"/>
  <c r="O10" i="31"/>
  <c r="O11" i="31"/>
  <c r="O12" i="31"/>
  <c r="O13" i="31"/>
  <c r="O14" i="31"/>
  <c r="O15" i="31"/>
  <c r="O16" i="31"/>
  <c r="O17" i="31"/>
  <c r="N3" i="31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O2" i="31"/>
  <c r="N2" i="31"/>
  <c r="L2" i="31"/>
  <c r="S2" i="31"/>
  <c r="U3" i="30"/>
  <c r="U4" i="30"/>
  <c r="U5" i="30"/>
  <c r="U6" i="30"/>
  <c r="U7" i="30"/>
  <c r="U8" i="30"/>
  <c r="U9" i="30"/>
  <c r="U10" i="30"/>
  <c r="U11" i="30"/>
  <c r="U12" i="30"/>
  <c r="U13" i="30"/>
  <c r="U14" i="30"/>
  <c r="U15" i="30"/>
  <c r="U16" i="30"/>
  <c r="U17" i="30"/>
  <c r="T3" i="30"/>
  <c r="T4" i="30"/>
  <c r="T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2" i="30"/>
  <c r="S3" i="30"/>
  <c r="S4" i="30"/>
  <c r="S5" i="30"/>
  <c r="S6" i="30"/>
  <c r="S7" i="30"/>
  <c r="S8" i="30"/>
  <c r="S9" i="30"/>
  <c r="S10" i="30"/>
  <c r="S11" i="30"/>
  <c r="S12" i="30"/>
  <c r="S13" i="30"/>
  <c r="S14" i="30"/>
  <c r="S15" i="30"/>
  <c r="S16" i="30"/>
  <c r="S17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2" i="30"/>
  <c r="R3" i="30"/>
  <c r="R4" i="30"/>
  <c r="R5" i="30"/>
  <c r="R6" i="30"/>
  <c r="R7" i="30"/>
  <c r="R8" i="30"/>
  <c r="R9" i="30"/>
  <c r="R10" i="30"/>
  <c r="R11" i="30"/>
  <c r="R12" i="30"/>
  <c r="R13" i="30"/>
  <c r="R14" i="30"/>
  <c r="R15" i="30"/>
  <c r="R16" i="30"/>
  <c r="R17" i="30"/>
  <c r="Q3" i="30"/>
  <c r="Q4" i="30"/>
  <c r="Q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P3" i="30"/>
  <c r="P4" i="30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O3" i="30"/>
  <c r="O4" i="30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N3" i="30"/>
  <c r="N4" i="30"/>
  <c r="N5" i="30"/>
  <c r="N6" i="30"/>
  <c r="N7" i="30"/>
  <c r="N8" i="30"/>
  <c r="N9" i="30"/>
  <c r="N10" i="30"/>
  <c r="N11" i="30"/>
  <c r="N12" i="30"/>
  <c r="N13" i="30"/>
  <c r="N14" i="30"/>
  <c r="N15" i="30"/>
  <c r="N16" i="30"/>
  <c r="N17" i="30"/>
  <c r="M3" i="30"/>
  <c r="M4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L3" i="30"/>
  <c r="L4" i="30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O2" i="30"/>
  <c r="N2" i="30"/>
  <c r="L2" i="30"/>
  <c r="S2" i="30"/>
  <c r="U3" i="28"/>
  <c r="U4" i="28"/>
  <c r="U5" i="28"/>
  <c r="U6" i="28"/>
  <c r="U7" i="28"/>
  <c r="U8" i="28"/>
  <c r="U9" i="28"/>
  <c r="U10" i="28"/>
  <c r="U11" i="28"/>
  <c r="U12" i="28"/>
  <c r="U13" i="28"/>
  <c r="U14" i="28"/>
  <c r="U15" i="28"/>
  <c r="U16" i="28"/>
  <c r="U17" i="28"/>
  <c r="T3" i="28"/>
  <c r="T4" i="28"/>
  <c r="T5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2" i="28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Q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P3" i="28"/>
  <c r="P4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O2" i="28"/>
  <c r="N2" i="28"/>
  <c r="P2" i="28" s="1"/>
  <c r="L2" i="28"/>
  <c r="S2" i="28"/>
  <c r="U3" i="27"/>
  <c r="U4" i="27"/>
  <c r="U5" i="27"/>
  <c r="U6" i="27"/>
  <c r="U7" i="27"/>
  <c r="U8" i="27"/>
  <c r="U9" i="27"/>
  <c r="U10" i="27"/>
  <c r="U11" i="27"/>
  <c r="U12" i="27"/>
  <c r="U13" i="27"/>
  <c r="U14" i="27"/>
  <c r="U15" i="27"/>
  <c r="U16" i="27"/>
  <c r="U17" i="27"/>
  <c r="T3" i="27"/>
  <c r="T4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2" i="27"/>
  <c r="S3" i="27"/>
  <c r="S4" i="27"/>
  <c r="S5" i="27"/>
  <c r="S6" i="27"/>
  <c r="S7" i="27"/>
  <c r="S8" i="27"/>
  <c r="S9" i="27"/>
  <c r="S10" i="27"/>
  <c r="S11" i="27"/>
  <c r="S12" i="27"/>
  <c r="S13" i="27"/>
  <c r="S14" i="27"/>
  <c r="S15" i="27"/>
  <c r="S16" i="27"/>
  <c r="S17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2" i="27"/>
  <c r="R3" i="27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Q3" i="27"/>
  <c r="Q4" i="27"/>
  <c r="Q5" i="27"/>
  <c r="Q6" i="27"/>
  <c r="Q7" i="27"/>
  <c r="Q8" i="27"/>
  <c r="Q9" i="27"/>
  <c r="Q10" i="27"/>
  <c r="Q11" i="27"/>
  <c r="Q12" i="27"/>
  <c r="Q13" i="27"/>
  <c r="Q14" i="27"/>
  <c r="Q15" i="27"/>
  <c r="Q16" i="27"/>
  <c r="Q17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N3" i="27"/>
  <c r="N4" i="27"/>
  <c r="N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L3" i="27"/>
  <c r="L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O2" i="27"/>
  <c r="N2" i="27"/>
  <c r="P2" i="27" s="1"/>
  <c r="L2" i="27"/>
  <c r="S2" i="27"/>
  <c r="U3" i="26"/>
  <c r="U4" i="26"/>
  <c r="U5" i="26"/>
  <c r="U6" i="26"/>
  <c r="U7" i="26"/>
  <c r="U8" i="26"/>
  <c r="U9" i="26"/>
  <c r="U10" i="26"/>
  <c r="U11" i="26"/>
  <c r="U12" i="26"/>
  <c r="U13" i="26"/>
  <c r="U14" i="26"/>
  <c r="U15" i="26"/>
  <c r="U16" i="26"/>
  <c r="U17" i="26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2" i="26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Q3" i="26"/>
  <c r="Q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P3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N3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O2" i="26"/>
  <c r="N2" i="26"/>
  <c r="P2" i="26" s="1"/>
  <c r="L2" i="26"/>
  <c r="S2" i="26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Q3" i="25"/>
  <c r="Q4" i="25"/>
  <c r="Q5" i="25"/>
  <c r="Q6" i="25"/>
  <c r="Q7" i="25"/>
  <c r="Q8" i="25"/>
  <c r="Q9" i="25"/>
  <c r="Q10" i="25"/>
  <c r="Q11" i="25"/>
  <c r="Q12" i="25"/>
  <c r="Q13" i="25"/>
  <c r="Q14" i="25"/>
  <c r="Q15" i="25"/>
  <c r="Q16" i="25"/>
  <c r="Q17" i="25"/>
  <c r="P3" i="25"/>
  <c r="P4" i="25"/>
  <c r="P5" i="25"/>
  <c r="P6" i="25"/>
  <c r="P7" i="25"/>
  <c r="P8" i="25"/>
  <c r="P9" i="25"/>
  <c r="P10" i="25"/>
  <c r="P11" i="25"/>
  <c r="P12" i="25"/>
  <c r="P13" i="25"/>
  <c r="P14" i="25"/>
  <c r="P15" i="25"/>
  <c r="P16" i="25"/>
  <c r="P17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N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M3" i="25"/>
  <c r="M4" i="25"/>
  <c r="M5" i="25"/>
  <c r="M6" i="25"/>
  <c r="M7" i="25"/>
  <c r="M8" i="25"/>
  <c r="M9" i="25"/>
  <c r="M10" i="25"/>
  <c r="M11" i="25"/>
  <c r="M12" i="25"/>
  <c r="M13" i="25"/>
  <c r="M14" i="25"/>
  <c r="M15" i="25"/>
  <c r="M16" i="25"/>
  <c r="M17" i="25"/>
  <c r="L3" i="25"/>
  <c r="L4" i="25"/>
  <c r="L5" i="25"/>
  <c r="L6" i="25"/>
  <c r="L7" i="25"/>
  <c r="L8" i="25"/>
  <c r="L9" i="25"/>
  <c r="L10" i="25"/>
  <c r="L11" i="25"/>
  <c r="L12" i="25"/>
  <c r="L13" i="25"/>
  <c r="L14" i="25"/>
  <c r="L15" i="25"/>
  <c r="L16" i="25"/>
  <c r="L17" i="25"/>
  <c r="S2" i="25"/>
  <c r="O2" i="25"/>
  <c r="N2" i="25"/>
  <c r="L2" i="25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T3" i="24"/>
  <c r="T4" i="24"/>
  <c r="T5" i="24"/>
  <c r="T6" i="24"/>
  <c r="T7" i="24"/>
  <c r="T8" i="24"/>
  <c r="T9" i="24"/>
  <c r="T10" i="24"/>
  <c r="T11" i="24"/>
  <c r="T12" i="24"/>
  <c r="T13" i="24"/>
  <c r="T14" i="24"/>
  <c r="T15" i="24"/>
  <c r="T16" i="24"/>
  <c r="T17" i="24"/>
  <c r="T2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2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Q3" i="24"/>
  <c r="Q4" i="24"/>
  <c r="Q5" i="24"/>
  <c r="Q6" i="24"/>
  <c r="Q7" i="24"/>
  <c r="Q8" i="24"/>
  <c r="Q9" i="24"/>
  <c r="Q10" i="24"/>
  <c r="Q11" i="24"/>
  <c r="Q12" i="24"/>
  <c r="Q13" i="24"/>
  <c r="Q14" i="24"/>
  <c r="Q15" i="24"/>
  <c r="Q16" i="24"/>
  <c r="Q17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O2" i="24"/>
  <c r="N2" i="24"/>
  <c r="P2" i="24" s="1"/>
  <c r="L2" i="24"/>
  <c r="S2" i="24"/>
  <c r="U3" i="23"/>
  <c r="U4" i="23"/>
  <c r="U5" i="23"/>
  <c r="U6" i="23"/>
  <c r="U7" i="23"/>
  <c r="U8" i="23"/>
  <c r="U9" i="23"/>
  <c r="U10" i="23"/>
  <c r="U11" i="23"/>
  <c r="U12" i="23"/>
  <c r="U13" i="23"/>
  <c r="U14" i="23"/>
  <c r="U15" i="23"/>
  <c r="U16" i="23"/>
  <c r="T3" i="23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2" i="23"/>
  <c r="S2" i="23" s="1"/>
  <c r="R3" i="23"/>
  <c r="R4" i="23"/>
  <c r="R5" i="23"/>
  <c r="R6" i="23"/>
  <c r="R7" i="23"/>
  <c r="R8" i="23"/>
  <c r="R9" i="23"/>
  <c r="R10" i="23"/>
  <c r="R11" i="23"/>
  <c r="R12" i="23"/>
  <c r="R13" i="23"/>
  <c r="R14" i="23"/>
  <c r="R15" i="23"/>
  <c r="R16" i="23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P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N3" i="23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L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O2" i="23"/>
  <c r="N2" i="23"/>
  <c r="P2" i="23" s="1"/>
  <c r="L2" i="23"/>
  <c r="U3" i="22"/>
  <c r="U4" i="22"/>
  <c r="U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T3" i="22"/>
  <c r="T4" i="22"/>
  <c r="T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2" i="22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" i="22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O2" i="22"/>
  <c r="N2" i="22"/>
  <c r="L2" i="22"/>
  <c r="S2" i="22"/>
  <c r="U3" i="21"/>
  <c r="U4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2" i="21"/>
  <c r="R3" i="21"/>
  <c r="R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N3" i="2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O2" i="21"/>
  <c r="N2" i="21"/>
  <c r="L2" i="21"/>
  <c r="S2" i="21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T3" i="20"/>
  <c r="T4" i="20"/>
  <c r="T5" i="20"/>
  <c r="T6" i="20"/>
  <c r="T7" i="20"/>
  <c r="T8" i="20"/>
  <c r="T9" i="20"/>
  <c r="T10" i="20"/>
  <c r="T11" i="20"/>
  <c r="T12" i="20"/>
  <c r="T13" i="20"/>
  <c r="T14" i="20"/>
  <c r="T15" i="20"/>
  <c r="T16" i="20"/>
  <c r="T17" i="20"/>
  <c r="T2" i="20"/>
  <c r="S3" i="20"/>
  <c r="S4" i="20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2" i="20"/>
  <c r="S2" i="20" s="1"/>
  <c r="U2" i="20" s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2" i="19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2" i="18"/>
  <c r="G3" i="17"/>
  <c r="S3" i="17" s="1"/>
  <c r="T3" i="17" s="1"/>
  <c r="U3" i="17" s="1"/>
  <c r="G4" i="17"/>
  <c r="S4" i="17" s="1"/>
  <c r="T4" i="17" s="1"/>
  <c r="U4" i="17" s="1"/>
  <c r="G5" i="17"/>
  <c r="S5" i="17" s="1"/>
  <c r="T5" i="17" s="1"/>
  <c r="U5" i="17" s="1"/>
  <c r="G6" i="17"/>
  <c r="S6" i="17" s="1"/>
  <c r="T6" i="17" s="1"/>
  <c r="U6" i="17" s="1"/>
  <c r="G7" i="17"/>
  <c r="S7" i="17" s="1"/>
  <c r="T7" i="17" s="1"/>
  <c r="U7" i="17" s="1"/>
  <c r="G8" i="17"/>
  <c r="S8" i="17" s="1"/>
  <c r="T8" i="17" s="1"/>
  <c r="U8" i="17" s="1"/>
  <c r="G9" i="17"/>
  <c r="S9" i="17" s="1"/>
  <c r="T9" i="17" s="1"/>
  <c r="U9" i="17" s="1"/>
  <c r="G10" i="17"/>
  <c r="S10" i="17" s="1"/>
  <c r="T10" i="17" s="1"/>
  <c r="U10" i="17" s="1"/>
  <c r="G11" i="17"/>
  <c r="S11" i="17" s="1"/>
  <c r="T11" i="17" s="1"/>
  <c r="U11" i="17" s="1"/>
  <c r="G12" i="17"/>
  <c r="S12" i="17" s="1"/>
  <c r="T12" i="17" s="1"/>
  <c r="U12" i="17" s="1"/>
  <c r="G13" i="17"/>
  <c r="S13" i="17" s="1"/>
  <c r="T13" i="17" s="1"/>
  <c r="U13" i="17" s="1"/>
  <c r="G14" i="17"/>
  <c r="S14" i="17" s="1"/>
  <c r="T14" i="17" s="1"/>
  <c r="U14" i="17" s="1"/>
  <c r="G15" i="17"/>
  <c r="S15" i="17" s="1"/>
  <c r="T15" i="17" s="1"/>
  <c r="U15" i="17" s="1"/>
  <c r="G16" i="17"/>
  <c r="S16" i="17" s="1"/>
  <c r="T16" i="17" s="1"/>
  <c r="U16" i="17" s="1"/>
  <c r="G17" i="17"/>
  <c r="S17" i="17" s="1"/>
  <c r="T17" i="17" s="1"/>
  <c r="U17" i="17" s="1"/>
  <c r="G18" i="17"/>
  <c r="S18" i="17" s="1"/>
  <c r="T18" i="17" s="1"/>
  <c r="U18" i="17" s="1"/>
  <c r="G2" i="17"/>
  <c r="S2" i="17" s="1"/>
  <c r="T2" i="17" s="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2" i="16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2" i="15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2" i="14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2" i="13"/>
  <c r="S2" i="13" s="1"/>
  <c r="T2" i="13" s="1"/>
  <c r="G3" i="12"/>
  <c r="S3" i="12" s="1"/>
  <c r="T3" i="12" s="1"/>
  <c r="U3" i="12" s="1"/>
  <c r="G4" i="12"/>
  <c r="S4" i="12" s="1"/>
  <c r="T4" i="12" s="1"/>
  <c r="U4" i="12" s="1"/>
  <c r="G5" i="12"/>
  <c r="S5" i="12" s="1"/>
  <c r="T5" i="12" s="1"/>
  <c r="U5" i="12" s="1"/>
  <c r="G6" i="12"/>
  <c r="S6" i="12" s="1"/>
  <c r="T6" i="12" s="1"/>
  <c r="U6" i="12" s="1"/>
  <c r="G7" i="12"/>
  <c r="S7" i="12" s="1"/>
  <c r="T7" i="12" s="1"/>
  <c r="U7" i="12" s="1"/>
  <c r="G8" i="12"/>
  <c r="S8" i="12" s="1"/>
  <c r="T8" i="12" s="1"/>
  <c r="U8" i="12" s="1"/>
  <c r="G9" i="12"/>
  <c r="S9" i="12" s="1"/>
  <c r="T9" i="12" s="1"/>
  <c r="U9" i="12" s="1"/>
  <c r="G10" i="12"/>
  <c r="S10" i="12" s="1"/>
  <c r="T10" i="12" s="1"/>
  <c r="U10" i="12" s="1"/>
  <c r="G11" i="12"/>
  <c r="S11" i="12" s="1"/>
  <c r="T11" i="12" s="1"/>
  <c r="U11" i="12" s="1"/>
  <c r="G12" i="12"/>
  <c r="S12" i="12" s="1"/>
  <c r="T12" i="12" s="1"/>
  <c r="U12" i="12" s="1"/>
  <c r="G13" i="12"/>
  <c r="S13" i="12" s="1"/>
  <c r="T13" i="12" s="1"/>
  <c r="U13" i="12" s="1"/>
  <c r="G14" i="12"/>
  <c r="S14" i="12" s="1"/>
  <c r="T14" i="12" s="1"/>
  <c r="U14" i="12" s="1"/>
  <c r="G15" i="12"/>
  <c r="S15" i="12" s="1"/>
  <c r="T15" i="12" s="1"/>
  <c r="U15" i="12" s="1"/>
  <c r="G16" i="12"/>
  <c r="S16" i="12" s="1"/>
  <c r="T16" i="12" s="1"/>
  <c r="U16" i="12" s="1"/>
  <c r="G17" i="12"/>
  <c r="S17" i="12" s="1"/>
  <c r="T17" i="12" s="1"/>
  <c r="U17" i="12" s="1"/>
  <c r="G2" i="12"/>
  <c r="S2" i="12" s="1"/>
  <c r="T2" i="12" s="1"/>
  <c r="U2" i="12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2" i="11"/>
  <c r="S2" i="11" s="1"/>
  <c r="T2" i="11" s="1"/>
  <c r="G3" i="10"/>
  <c r="G4" i="10"/>
  <c r="G5" i="10"/>
  <c r="G6" i="10"/>
  <c r="G7" i="10"/>
  <c r="G8" i="10"/>
  <c r="G9" i="10"/>
  <c r="G10" i="10"/>
  <c r="G11" i="10"/>
  <c r="G12" i="10"/>
  <c r="G13" i="10"/>
  <c r="G14" i="10"/>
  <c r="G2" i="10"/>
  <c r="S2" i="10" s="1"/>
  <c r="T2" i="10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2" i="9"/>
  <c r="S2" i="9" s="1"/>
  <c r="T2" i="9" s="1"/>
  <c r="G3" i="8"/>
  <c r="S3" i="8" s="1"/>
  <c r="T3" i="8" s="1"/>
  <c r="U3" i="8" s="1"/>
  <c r="G4" i="8"/>
  <c r="S4" i="8" s="1"/>
  <c r="T4" i="8" s="1"/>
  <c r="U4" i="8" s="1"/>
  <c r="G5" i="8"/>
  <c r="S5" i="8" s="1"/>
  <c r="T5" i="8" s="1"/>
  <c r="U5" i="8" s="1"/>
  <c r="G6" i="8"/>
  <c r="S6" i="8" s="1"/>
  <c r="T6" i="8" s="1"/>
  <c r="U6" i="8" s="1"/>
  <c r="G7" i="8"/>
  <c r="S7" i="8" s="1"/>
  <c r="T7" i="8" s="1"/>
  <c r="U7" i="8" s="1"/>
  <c r="G8" i="8"/>
  <c r="S8" i="8" s="1"/>
  <c r="T8" i="8" s="1"/>
  <c r="U8" i="8" s="1"/>
  <c r="G9" i="8"/>
  <c r="S9" i="8" s="1"/>
  <c r="T9" i="8" s="1"/>
  <c r="U9" i="8" s="1"/>
  <c r="G10" i="8"/>
  <c r="S10" i="8" s="1"/>
  <c r="T10" i="8" s="1"/>
  <c r="U10" i="8" s="1"/>
  <c r="G11" i="8"/>
  <c r="S11" i="8" s="1"/>
  <c r="T11" i="8" s="1"/>
  <c r="U11" i="8" s="1"/>
  <c r="G12" i="8"/>
  <c r="S12" i="8" s="1"/>
  <c r="T12" i="8" s="1"/>
  <c r="U12" i="8" s="1"/>
  <c r="G13" i="8"/>
  <c r="S13" i="8" s="1"/>
  <c r="T13" i="8" s="1"/>
  <c r="U13" i="8" s="1"/>
  <c r="G14" i="8"/>
  <c r="S14" i="8" s="1"/>
  <c r="T14" i="8" s="1"/>
  <c r="U14" i="8" s="1"/>
  <c r="G15" i="8"/>
  <c r="S15" i="8" s="1"/>
  <c r="T15" i="8" s="1"/>
  <c r="U15" i="8" s="1"/>
  <c r="G16" i="8"/>
  <c r="S16" i="8" s="1"/>
  <c r="T16" i="8" s="1"/>
  <c r="U16" i="8" s="1"/>
  <c r="G17" i="8"/>
  <c r="S17" i="8" s="1"/>
  <c r="T17" i="8" s="1"/>
  <c r="U17" i="8" s="1"/>
  <c r="G2" i="8"/>
  <c r="S2" i="8" s="1"/>
  <c r="T2" i="8" s="1"/>
  <c r="U2" i="8" s="1"/>
  <c r="G3" i="7"/>
  <c r="S3" i="7" s="1"/>
  <c r="T3" i="7" s="1"/>
  <c r="U3" i="7" s="1"/>
  <c r="G4" i="7"/>
  <c r="S4" i="7" s="1"/>
  <c r="T4" i="7" s="1"/>
  <c r="U4" i="7" s="1"/>
  <c r="G5" i="7"/>
  <c r="S5" i="7" s="1"/>
  <c r="T5" i="7" s="1"/>
  <c r="U5" i="7" s="1"/>
  <c r="G6" i="7"/>
  <c r="S6" i="7" s="1"/>
  <c r="T6" i="7" s="1"/>
  <c r="U6" i="7" s="1"/>
  <c r="G7" i="7"/>
  <c r="S7" i="7" s="1"/>
  <c r="T7" i="7" s="1"/>
  <c r="U7" i="7" s="1"/>
  <c r="G8" i="7"/>
  <c r="S8" i="7" s="1"/>
  <c r="T8" i="7" s="1"/>
  <c r="U8" i="7" s="1"/>
  <c r="G9" i="7"/>
  <c r="S9" i="7" s="1"/>
  <c r="T9" i="7" s="1"/>
  <c r="U9" i="7" s="1"/>
  <c r="G10" i="7"/>
  <c r="S10" i="7" s="1"/>
  <c r="T10" i="7" s="1"/>
  <c r="U10" i="7" s="1"/>
  <c r="G11" i="7"/>
  <c r="S11" i="7" s="1"/>
  <c r="T11" i="7" s="1"/>
  <c r="U11" i="7" s="1"/>
  <c r="G12" i="7"/>
  <c r="S12" i="7" s="1"/>
  <c r="T12" i="7" s="1"/>
  <c r="U12" i="7" s="1"/>
  <c r="G13" i="7"/>
  <c r="S13" i="7" s="1"/>
  <c r="T13" i="7" s="1"/>
  <c r="U13" i="7" s="1"/>
  <c r="G14" i="7"/>
  <c r="S14" i="7" s="1"/>
  <c r="T14" i="7" s="1"/>
  <c r="U14" i="7" s="1"/>
  <c r="G15" i="7"/>
  <c r="S15" i="7" s="1"/>
  <c r="T15" i="7" s="1"/>
  <c r="U15" i="7" s="1"/>
  <c r="G16" i="7"/>
  <c r="S16" i="7" s="1"/>
  <c r="T16" i="7" s="1"/>
  <c r="U16" i="7" s="1"/>
  <c r="G17" i="7"/>
  <c r="S17" i="7" s="1"/>
  <c r="T17" i="7" s="1"/>
  <c r="U17" i="7" s="1"/>
  <c r="G2" i="7"/>
  <c r="S2" i="7" s="1"/>
  <c r="T2" i="7" s="1"/>
  <c r="G3" i="6"/>
  <c r="S3" i="6" s="1"/>
  <c r="T3" i="6" s="1"/>
  <c r="U3" i="6" s="1"/>
  <c r="G4" i="6"/>
  <c r="S4" i="6" s="1"/>
  <c r="T4" i="6" s="1"/>
  <c r="U4" i="6" s="1"/>
  <c r="G5" i="6"/>
  <c r="S5" i="6" s="1"/>
  <c r="T5" i="6" s="1"/>
  <c r="U5" i="6" s="1"/>
  <c r="G6" i="6"/>
  <c r="S6" i="6" s="1"/>
  <c r="T6" i="6" s="1"/>
  <c r="U6" i="6" s="1"/>
  <c r="G7" i="6"/>
  <c r="S7" i="6" s="1"/>
  <c r="T7" i="6" s="1"/>
  <c r="U7" i="6" s="1"/>
  <c r="G8" i="6"/>
  <c r="S8" i="6" s="1"/>
  <c r="T8" i="6" s="1"/>
  <c r="U8" i="6" s="1"/>
  <c r="G9" i="6"/>
  <c r="S9" i="6" s="1"/>
  <c r="T9" i="6" s="1"/>
  <c r="U9" i="6" s="1"/>
  <c r="G10" i="6"/>
  <c r="S10" i="6" s="1"/>
  <c r="T10" i="6" s="1"/>
  <c r="U10" i="6" s="1"/>
  <c r="G11" i="6"/>
  <c r="S11" i="6" s="1"/>
  <c r="T11" i="6" s="1"/>
  <c r="U11" i="6" s="1"/>
  <c r="G12" i="6"/>
  <c r="S12" i="6" s="1"/>
  <c r="T12" i="6" s="1"/>
  <c r="U12" i="6" s="1"/>
  <c r="G13" i="6"/>
  <c r="S13" i="6" s="1"/>
  <c r="T13" i="6" s="1"/>
  <c r="U13" i="6" s="1"/>
  <c r="G14" i="6"/>
  <c r="S14" i="6" s="1"/>
  <c r="T14" i="6" s="1"/>
  <c r="U14" i="6" s="1"/>
  <c r="G15" i="6"/>
  <c r="S15" i="6" s="1"/>
  <c r="T15" i="6" s="1"/>
  <c r="U15" i="6" s="1"/>
  <c r="G16" i="6"/>
  <c r="S16" i="6" s="1"/>
  <c r="T16" i="6" s="1"/>
  <c r="U16" i="6" s="1"/>
  <c r="G2" i="6"/>
  <c r="S2" i="6" s="1"/>
  <c r="T2" i="6" s="1"/>
  <c r="G3" i="5"/>
  <c r="S3" i="5" s="1"/>
  <c r="T3" i="5" s="1"/>
  <c r="U3" i="5" s="1"/>
  <c r="G4" i="5"/>
  <c r="S4" i="5" s="1"/>
  <c r="T4" i="5" s="1"/>
  <c r="U4" i="5" s="1"/>
  <c r="G5" i="5"/>
  <c r="S5" i="5" s="1"/>
  <c r="T5" i="5" s="1"/>
  <c r="U5" i="5" s="1"/>
  <c r="G6" i="5"/>
  <c r="S6" i="5" s="1"/>
  <c r="T6" i="5" s="1"/>
  <c r="U6" i="5" s="1"/>
  <c r="G7" i="5"/>
  <c r="S7" i="5" s="1"/>
  <c r="T7" i="5" s="1"/>
  <c r="U7" i="5" s="1"/>
  <c r="G8" i="5"/>
  <c r="S8" i="5" s="1"/>
  <c r="T8" i="5" s="1"/>
  <c r="U8" i="5" s="1"/>
  <c r="G9" i="5"/>
  <c r="S9" i="5" s="1"/>
  <c r="T9" i="5" s="1"/>
  <c r="U9" i="5" s="1"/>
  <c r="G10" i="5"/>
  <c r="S10" i="5" s="1"/>
  <c r="T10" i="5" s="1"/>
  <c r="U10" i="5" s="1"/>
  <c r="G11" i="5"/>
  <c r="S11" i="5" s="1"/>
  <c r="T11" i="5" s="1"/>
  <c r="U11" i="5" s="1"/>
  <c r="G12" i="5"/>
  <c r="S12" i="5" s="1"/>
  <c r="T12" i="5" s="1"/>
  <c r="U12" i="5" s="1"/>
  <c r="G13" i="5"/>
  <c r="S13" i="5" s="1"/>
  <c r="T13" i="5" s="1"/>
  <c r="U13" i="5" s="1"/>
  <c r="G14" i="5"/>
  <c r="S14" i="5" s="1"/>
  <c r="T14" i="5" s="1"/>
  <c r="U14" i="5" s="1"/>
  <c r="G15" i="5"/>
  <c r="S15" i="5" s="1"/>
  <c r="T15" i="5" s="1"/>
  <c r="U15" i="5" s="1"/>
  <c r="G16" i="5"/>
  <c r="S16" i="5" s="1"/>
  <c r="T16" i="5" s="1"/>
  <c r="U16" i="5" s="1"/>
  <c r="G2" i="5"/>
  <c r="S2" i="5" s="1"/>
  <c r="T2" i="5" s="1"/>
  <c r="U2" i="5" s="1"/>
  <c r="G3" i="4"/>
  <c r="S3" i="4" s="1"/>
  <c r="T3" i="4" s="1"/>
  <c r="U3" i="4" s="1"/>
  <c r="G4" i="4"/>
  <c r="S4" i="4" s="1"/>
  <c r="T4" i="4" s="1"/>
  <c r="U4" i="4" s="1"/>
  <c r="G5" i="4"/>
  <c r="S5" i="4" s="1"/>
  <c r="T5" i="4" s="1"/>
  <c r="U5" i="4" s="1"/>
  <c r="G6" i="4"/>
  <c r="S6" i="4" s="1"/>
  <c r="T6" i="4" s="1"/>
  <c r="U6" i="4" s="1"/>
  <c r="G7" i="4"/>
  <c r="S7" i="4" s="1"/>
  <c r="T7" i="4" s="1"/>
  <c r="U7" i="4" s="1"/>
  <c r="G8" i="4"/>
  <c r="S8" i="4" s="1"/>
  <c r="T8" i="4" s="1"/>
  <c r="U8" i="4" s="1"/>
  <c r="G9" i="4"/>
  <c r="S9" i="4" s="1"/>
  <c r="T9" i="4" s="1"/>
  <c r="U9" i="4" s="1"/>
  <c r="G10" i="4"/>
  <c r="S10" i="4" s="1"/>
  <c r="T10" i="4" s="1"/>
  <c r="U10" i="4" s="1"/>
  <c r="G11" i="4"/>
  <c r="S11" i="4" s="1"/>
  <c r="T11" i="4" s="1"/>
  <c r="U11" i="4" s="1"/>
  <c r="G12" i="4"/>
  <c r="S12" i="4" s="1"/>
  <c r="T12" i="4" s="1"/>
  <c r="U12" i="4" s="1"/>
  <c r="G13" i="4"/>
  <c r="S13" i="4" s="1"/>
  <c r="T13" i="4" s="1"/>
  <c r="U13" i="4" s="1"/>
  <c r="G14" i="4"/>
  <c r="S14" i="4" s="1"/>
  <c r="T14" i="4" s="1"/>
  <c r="U14" i="4" s="1"/>
  <c r="G15" i="4"/>
  <c r="S15" i="4" s="1"/>
  <c r="T15" i="4" s="1"/>
  <c r="U15" i="4" s="1"/>
  <c r="G16" i="4"/>
  <c r="S16" i="4" s="1"/>
  <c r="T16" i="4" s="1"/>
  <c r="U16" i="4" s="1"/>
  <c r="G17" i="4"/>
  <c r="S17" i="4" s="1"/>
  <c r="T17" i="4" s="1"/>
  <c r="U17" i="4" s="1"/>
  <c r="G2" i="4"/>
  <c r="S2" i="4" s="1"/>
  <c r="T2" i="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" i="1"/>
  <c r="T2" i="1" s="1"/>
  <c r="U2" i="1" s="1"/>
  <c r="G2" i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" i="2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L3" i="20"/>
  <c r="L4" i="20"/>
  <c r="L5" i="20"/>
  <c r="L6" i="20"/>
  <c r="L7" i="20"/>
  <c r="L8" i="20"/>
  <c r="L9" i="20"/>
  <c r="L10" i="20"/>
  <c r="L11" i="20"/>
  <c r="L12" i="20"/>
  <c r="L13" i="20"/>
  <c r="L14" i="20"/>
  <c r="L15" i="20"/>
  <c r="L16" i="20"/>
  <c r="L17" i="20"/>
  <c r="O2" i="20"/>
  <c r="N2" i="20"/>
  <c r="P2" i="20" s="1"/>
  <c r="L2" i="20"/>
  <c r="S3" i="19"/>
  <c r="T3" i="19" s="1"/>
  <c r="U3" i="19" s="1"/>
  <c r="S4" i="19"/>
  <c r="T4" i="19" s="1"/>
  <c r="U4" i="19" s="1"/>
  <c r="S5" i="19"/>
  <c r="T5" i="19" s="1"/>
  <c r="U5" i="19" s="1"/>
  <c r="S6" i="19"/>
  <c r="T6" i="19" s="1"/>
  <c r="U6" i="19" s="1"/>
  <c r="S7" i="19"/>
  <c r="T7" i="19" s="1"/>
  <c r="U7" i="19" s="1"/>
  <c r="S8" i="19"/>
  <c r="T8" i="19" s="1"/>
  <c r="U8" i="19" s="1"/>
  <c r="S9" i="19"/>
  <c r="T9" i="19" s="1"/>
  <c r="U9" i="19" s="1"/>
  <c r="S10" i="19"/>
  <c r="T10" i="19" s="1"/>
  <c r="U10" i="19" s="1"/>
  <c r="S11" i="19"/>
  <c r="T11" i="19" s="1"/>
  <c r="U11" i="19" s="1"/>
  <c r="S12" i="19"/>
  <c r="T12" i="19" s="1"/>
  <c r="U12" i="19" s="1"/>
  <c r="S13" i="19"/>
  <c r="T13" i="19" s="1"/>
  <c r="U13" i="19" s="1"/>
  <c r="S14" i="19"/>
  <c r="T14" i="19" s="1"/>
  <c r="U14" i="19" s="1"/>
  <c r="S15" i="19"/>
  <c r="T15" i="19" s="1"/>
  <c r="U15" i="19" s="1"/>
  <c r="S16" i="19"/>
  <c r="T16" i="19" s="1"/>
  <c r="U16" i="19" s="1"/>
  <c r="S17" i="19"/>
  <c r="T17" i="19" s="1"/>
  <c r="U17" i="19" s="1"/>
  <c r="S18" i="19"/>
  <c r="T18" i="19" s="1"/>
  <c r="U18" i="19" s="1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L3" i="19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S2" i="19"/>
  <c r="T2" i="19" s="1"/>
  <c r="U2" i="19" s="1"/>
  <c r="O2" i="19"/>
  <c r="N2" i="19"/>
  <c r="P2" i="19" s="1"/>
  <c r="L2" i="19"/>
  <c r="S3" i="18"/>
  <c r="T3" i="18" s="1"/>
  <c r="U3" i="18" s="1"/>
  <c r="S4" i="18"/>
  <c r="T4" i="18" s="1"/>
  <c r="U4" i="18" s="1"/>
  <c r="S5" i="18"/>
  <c r="T5" i="18" s="1"/>
  <c r="U5" i="18" s="1"/>
  <c r="S6" i="18"/>
  <c r="T6" i="18" s="1"/>
  <c r="U6" i="18" s="1"/>
  <c r="S7" i="18"/>
  <c r="T7" i="18" s="1"/>
  <c r="U7" i="18" s="1"/>
  <c r="S8" i="18"/>
  <c r="T8" i="18" s="1"/>
  <c r="U8" i="18" s="1"/>
  <c r="S9" i="18"/>
  <c r="T9" i="18" s="1"/>
  <c r="U9" i="18" s="1"/>
  <c r="S10" i="18"/>
  <c r="T10" i="18" s="1"/>
  <c r="U10" i="18" s="1"/>
  <c r="S11" i="18"/>
  <c r="T11" i="18" s="1"/>
  <c r="U11" i="18" s="1"/>
  <c r="S12" i="18"/>
  <c r="T12" i="18" s="1"/>
  <c r="U12" i="18" s="1"/>
  <c r="S13" i="18"/>
  <c r="T13" i="18" s="1"/>
  <c r="U13" i="18" s="1"/>
  <c r="S14" i="18"/>
  <c r="T14" i="18" s="1"/>
  <c r="U14" i="18" s="1"/>
  <c r="S15" i="18"/>
  <c r="T15" i="18" s="1"/>
  <c r="U15" i="18" s="1"/>
  <c r="S16" i="18"/>
  <c r="T16" i="18" s="1"/>
  <c r="U16" i="18" s="1"/>
  <c r="S17" i="18"/>
  <c r="T17" i="18" s="1"/>
  <c r="U17" i="18" s="1"/>
  <c r="S18" i="18"/>
  <c r="T18" i="18" s="1"/>
  <c r="U18" i="18" s="1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S2" i="18"/>
  <c r="T2" i="18" s="1"/>
  <c r="O2" i="18"/>
  <c r="N2" i="18"/>
  <c r="L2" i="18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O2" i="17"/>
  <c r="N2" i="17"/>
  <c r="L2" i="17"/>
  <c r="S3" i="16"/>
  <c r="T3" i="16" s="1"/>
  <c r="U3" i="16" s="1"/>
  <c r="S4" i="16"/>
  <c r="T4" i="16" s="1"/>
  <c r="U4" i="16" s="1"/>
  <c r="S5" i="16"/>
  <c r="T5" i="16" s="1"/>
  <c r="U5" i="16" s="1"/>
  <c r="S6" i="16"/>
  <c r="T6" i="16" s="1"/>
  <c r="U6" i="16" s="1"/>
  <c r="S7" i="16"/>
  <c r="T7" i="16" s="1"/>
  <c r="U7" i="16" s="1"/>
  <c r="S8" i="16"/>
  <c r="T8" i="16" s="1"/>
  <c r="U8" i="16" s="1"/>
  <c r="S9" i="16"/>
  <c r="T9" i="16" s="1"/>
  <c r="U9" i="16" s="1"/>
  <c r="S10" i="16"/>
  <c r="T10" i="16" s="1"/>
  <c r="U10" i="16" s="1"/>
  <c r="S11" i="16"/>
  <c r="T11" i="16" s="1"/>
  <c r="U11" i="16" s="1"/>
  <c r="S12" i="16"/>
  <c r="T12" i="16" s="1"/>
  <c r="U12" i="16" s="1"/>
  <c r="S13" i="16"/>
  <c r="T13" i="16" s="1"/>
  <c r="U13" i="16" s="1"/>
  <c r="S14" i="16"/>
  <c r="T14" i="16" s="1"/>
  <c r="U14" i="16" s="1"/>
  <c r="S15" i="16"/>
  <c r="T15" i="16" s="1"/>
  <c r="U15" i="16" s="1"/>
  <c r="S16" i="16"/>
  <c r="T16" i="16" s="1"/>
  <c r="U16" i="16" s="1"/>
  <c r="S17" i="16"/>
  <c r="T17" i="16" s="1"/>
  <c r="U17" i="16" s="1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Q3" i="16"/>
  <c r="Q4" i="16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S2" i="16"/>
  <c r="T2" i="16" s="1"/>
  <c r="O2" i="16"/>
  <c r="N2" i="16"/>
  <c r="L2" i="16"/>
  <c r="S3" i="15"/>
  <c r="T3" i="15" s="1"/>
  <c r="U3" i="15" s="1"/>
  <c r="S4" i="15"/>
  <c r="T4" i="15" s="1"/>
  <c r="U4" i="15" s="1"/>
  <c r="S5" i="15"/>
  <c r="T5" i="15" s="1"/>
  <c r="U5" i="15" s="1"/>
  <c r="S6" i="15"/>
  <c r="T6" i="15" s="1"/>
  <c r="U6" i="15" s="1"/>
  <c r="S7" i="15"/>
  <c r="T7" i="15" s="1"/>
  <c r="U7" i="15" s="1"/>
  <c r="S8" i="15"/>
  <c r="T8" i="15" s="1"/>
  <c r="U8" i="15" s="1"/>
  <c r="S9" i="15"/>
  <c r="T9" i="15" s="1"/>
  <c r="U9" i="15" s="1"/>
  <c r="S10" i="15"/>
  <c r="T10" i="15" s="1"/>
  <c r="U10" i="15" s="1"/>
  <c r="S11" i="15"/>
  <c r="T11" i="15" s="1"/>
  <c r="U11" i="15" s="1"/>
  <c r="S12" i="15"/>
  <c r="T12" i="15" s="1"/>
  <c r="U12" i="15" s="1"/>
  <c r="S13" i="15"/>
  <c r="T13" i="15" s="1"/>
  <c r="U13" i="15" s="1"/>
  <c r="S14" i="15"/>
  <c r="T14" i="15" s="1"/>
  <c r="U14" i="15" s="1"/>
  <c r="S15" i="15"/>
  <c r="T15" i="15" s="1"/>
  <c r="U15" i="15" s="1"/>
  <c r="S16" i="15"/>
  <c r="T16" i="15" s="1"/>
  <c r="U16" i="15" s="1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S2" i="15"/>
  <c r="T2" i="15" s="1"/>
  <c r="O2" i="15"/>
  <c r="N2" i="15"/>
  <c r="L2" i="15"/>
  <c r="T2" i="14"/>
  <c r="S3" i="14"/>
  <c r="T3" i="14" s="1"/>
  <c r="U3" i="14" s="1"/>
  <c r="S4" i="14"/>
  <c r="T4" i="14" s="1"/>
  <c r="U4" i="14" s="1"/>
  <c r="S5" i="14"/>
  <c r="T5" i="14" s="1"/>
  <c r="U5" i="14" s="1"/>
  <c r="S6" i="14"/>
  <c r="T6" i="14" s="1"/>
  <c r="U6" i="14" s="1"/>
  <c r="S7" i="14"/>
  <c r="T7" i="14" s="1"/>
  <c r="U7" i="14" s="1"/>
  <c r="S8" i="14"/>
  <c r="T8" i="14" s="1"/>
  <c r="U8" i="14" s="1"/>
  <c r="S9" i="14"/>
  <c r="T9" i="14" s="1"/>
  <c r="U9" i="14" s="1"/>
  <c r="S10" i="14"/>
  <c r="T10" i="14" s="1"/>
  <c r="U10" i="14" s="1"/>
  <c r="S11" i="14"/>
  <c r="T11" i="14" s="1"/>
  <c r="U11" i="14" s="1"/>
  <c r="S12" i="14"/>
  <c r="T12" i="14" s="1"/>
  <c r="U12" i="14" s="1"/>
  <c r="S13" i="14"/>
  <c r="T13" i="14" s="1"/>
  <c r="U13" i="14" s="1"/>
  <c r="S14" i="14"/>
  <c r="T14" i="14" s="1"/>
  <c r="U14" i="14" s="1"/>
  <c r="S15" i="14"/>
  <c r="T15" i="14" s="1"/>
  <c r="U15" i="14" s="1"/>
  <c r="S16" i="14"/>
  <c r="T16" i="14" s="1"/>
  <c r="U16" i="14" s="1"/>
  <c r="S17" i="14"/>
  <c r="T17" i="14" s="1"/>
  <c r="U17" i="14" s="1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S2" i="14"/>
  <c r="O2" i="14"/>
  <c r="N2" i="14"/>
  <c r="P2" i="14" s="1"/>
  <c r="L2" i="14"/>
  <c r="S3" i="13"/>
  <c r="T3" i="13" s="1"/>
  <c r="U3" i="13" s="1"/>
  <c r="S4" i="13"/>
  <c r="T4" i="13" s="1"/>
  <c r="U4" i="13" s="1"/>
  <c r="S5" i="13"/>
  <c r="T5" i="13" s="1"/>
  <c r="U5" i="13" s="1"/>
  <c r="S6" i="13"/>
  <c r="T6" i="13" s="1"/>
  <c r="U6" i="13" s="1"/>
  <c r="S7" i="13"/>
  <c r="T7" i="13" s="1"/>
  <c r="U7" i="13" s="1"/>
  <c r="S8" i="13"/>
  <c r="T8" i="13" s="1"/>
  <c r="U8" i="13" s="1"/>
  <c r="S9" i="13"/>
  <c r="T9" i="13" s="1"/>
  <c r="U9" i="13" s="1"/>
  <c r="S10" i="13"/>
  <c r="T10" i="13" s="1"/>
  <c r="U10" i="13" s="1"/>
  <c r="S11" i="13"/>
  <c r="T11" i="13" s="1"/>
  <c r="U11" i="13" s="1"/>
  <c r="S12" i="13"/>
  <c r="T12" i="13" s="1"/>
  <c r="U12" i="13" s="1"/>
  <c r="S13" i="13"/>
  <c r="T13" i="13" s="1"/>
  <c r="U13" i="13" s="1"/>
  <c r="S14" i="13"/>
  <c r="T14" i="13" s="1"/>
  <c r="U14" i="13" s="1"/>
  <c r="S15" i="13"/>
  <c r="T15" i="13" s="1"/>
  <c r="U15" i="13" s="1"/>
  <c r="S16" i="13"/>
  <c r="T16" i="13" s="1"/>
  <c r="U16" i="13" s="1"/>
  <c r="S17" i="13"/>
  <c r="T17" i="13" s="1"/>
  <c r="U17" i="13" s="1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O2" i="13"/>
  <c r="N2" i="13"/>
  <c r="L2" i="13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O2" i="12"/>
  <c r="N2" i="12"/>
  <c r="P2" i="12" s="1"/>
  <c r="L2" i="12"/>
  <c r="T5" i="11"/>
  <c r="U5" i="11" s="1"/>
  <c r="T9" i="11"/>
  <c r="U9" i="11" s="1"/>
  <c r="T13" i="11"/>
  <c r="U13" i="11" s="1"/>
  <c r="S3" i="11"/>
  <c r="T3" i="11" s="1"/>
  <c r="U3" i="11" s="1"/>
  <c r="S4" i="11"/>
  <c r="T4" i="11" s="1"/>
  <c r="U4" i="11" s="1"/>
  <c r="S5" i="11"/>
  <c r="S6" i="11"/>
  <c r="T6" i="11" s="1"/>
  <c r="U6" i="11" s="1"/>
  <c r="S7" i="11"/>
  <c r="T7" i="11" s="1"/>
  <c r="U7" i="11" s="1"/>
  <c r="S8" i="11"/>
  <c r="T8" i="11" s="1"/>
  <c r="U8" i="11" s="1"/>
  <c r="S9" i="11"/>
  <c r="S10" i="11"/>
  <c r="T10" i="11" s="1"/>
  <c r="U10" i="11" s="1"/>
  <c r="S11" i="11"/>
  <c r="T11" i="11" s="1"/>
  <c r="U11" i="11" s="1"/>
  <c r="S12" i="11"/>
  <c r="T12" i="11" s="1"/>
  <c r="U12" i="11" s="1"/>
  <c r="S13" i="11"/>
  <c r="S14" i="11"/>
  <c r="T14" i="11" s="1"/>
  <c r="U14" i="11" s="1"/>
  <c r="S15" i="11"/>
  <c r="T15" i="11" s="1"/>
  <c r="U15" i="11" s="1"/>
  <c r="S16" i="11"/>
  <c r="T16" i="11" s="1"/>
  <c r="U16" i="11" s="1"/>
  <c r="S17" i="11"/>
  <c r="T17" i="11" s="1"/>
  <c r="U17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O2" i="11"/>
  <c r="N2" i="11"/>
  <c r="P2" i="11" s="1"/>
  <c r="L2" i="11"/>
  <c r="T11" i="10"/>
  <c r="U11" i="10" s="1"/>
  <c r="S3" i="10"/>
  <c r="T3" i="10" s="1"/>
  <c r="U3" i="10" s="1"/>
  <c r="S4" i="10"/>
  <c r="T4" i="10" s="1"/>
  <c r="U4" i="10" s="1"/>
  <c r="S5" i="10"/>
  <c r="T5" i="10" s="1"/>
  <c r="U5" i="10" s="1"/>
  <c r="S6" i="10"/>
  <c r="T6" i="10" s="1"/>
  <c r="U6" i="10" s="1"/>
  <c r="S7" i="10"/>
  <c r="T7" i="10" s="1"/>
  <c r="U7" i="10" s="1"/>
  <c r="S8" i="10"/>
  <c r="T8" i="10" s="1"/>
  <c r="U8" i="10" s="1"/>
  <c r="S9" i="10"/>
  <c r="T9" i="10" s="1"/>
  <c r="U9" i="10" s="1"/>
  <c r="S10" i="10"/>
  <c r="T10" i="10" s="1"/>
  <c r="U10" i="10" s="1"/>
  <c r="S11" i="10"/>
  <c r="S12" i="10"/>
  <c r="T12" i="10" s="1"/>
  <c r="U12" i="10" s="1"/>
  <c r="S13" i="10"/>
  <c r="T13" i="10" s="1"/>
  <c r="U13" i="10" s="1"/>
  <c r="S14" i="10"/>
  <c r="T14" i="10" s="1"/>
  <c r="U14" i="10" s="1"/>
  <c r="R3" i="10"/>
  <c r="R4" i="10"/>
  <c r="R5" i="10"/>
  <c r="R6" i="10"/>
  <c r="R7" i="10"/>
  <c r="R8" i="10"/>
  <c r="R9" i="10"/>
  <c r="R10" i="10"/>
  <c r="R11" i="10"/>
  <c r="R12" i="10"/>
  <c r="R13" i="10"/>
  <c r="R14" i="10"/>
  <c r="Q3" i="10"/>
  <c r="Q4" i="10"/>
  <c r="Q5" i="10"/>
  <c r="Q6" i="10"/>
  <c r="Q7" i="10"/>
  <c r="Q8" i="10"/>
  <c r="Q9" i="10"/>
  <c r="Q10" i="10"/>
  <c r="Q11" i="10"/>
  <c r="Q12" i="10"/>
  <c r="Q13" i="10"/>
  <c r="Q14" i="10"/>
  <c r="P3" i="10"/>
  <c r="P4" i="10"/>
  <c r="P5" i="10"/>
  <c r="P6" i="10"/>
  <c r="P7" i="10"/>
  <c r="P8" i="10"/>
  <c r="P9" i="10"/>
  <c r="P10" i="10"/>
  <c r="P11" i="10"/>
  <c r="P12" i="10"/>
  <c r="P13" i="10"/>
  <c r="P14" i="10"/>
  <c r="O3" i="10"/>
  <c r="O4" i="10"/>
  <c r="O5" i="10"/>
  <c r="O6" i="10"/>
  <c r="O7" i="10"/>
  <c r="O8" i="10"/>
  <c r="O9" i="10"/>
  <c r="O10" i="10"/>
  <c r="O11" i="10"/>
  <c r="O12" i="10"/>
  <c r="O13" i="10"/>
  <c r="O14" i="10"/>
  <c r="N3" i="10"/>
  <c r="N4" i="10"/>
  <c r="N5" i="10"/>
  <c r="N6" i="10"/>
  <c r="N7" i="10"/>
  <c r="N8" i="10"/>
  <c r="N9" i="10"/>
  <c r="N10" i="10"/>
  <c r="N11" i="10"/>
  <c r="N12" i="10"/>
  <c r="N13" i="10"/>
  <c r="N14" i="10"/>
  <c r="M3" i="10"/>
  <c r="M4" i="10"/>
  <c r="M5" i="10"/>
  <c r="M6" i="10"/>
  <c r="M7" i="10"/>
  <c r="M8" i="10"/>
  <c r="M9" i="10"/>
  <c r="M10" i="10"/>
  <c r="M11" i="10"/>
  <c r="M12" i="10"/>
  <c r="M13" i="10"/>
  <c r="M14" i="10"/>
  <c r="L3" i="10"/>
  <c r="L4" i="10"/>
  <c r="L5" i="10"/>
  <c r="L6" i="10"/>
  <c r="L7" i="10"/>
  <c r="L8" i="10"/>
  <c r="L9" i="10"/>
  <c r="L10" i="10"/>
  <c r="L11" i="10"/>
  <c r="L12" i="10"/>
  <c r="L13" i="10"/>
  <c r="L14" i="10"/>
  <c r="O2" i="10"/>
  <c r="N2" i="10"/>
  <c r="P2" i="10" s="1"/>
  <c r="L2" i="10"/>
  <c r="S3" i="9"/>
  <c r="T3" i="9" s="1"/>
  <c r="U3" i="9" s="1"/>
  <c r="S4" i="9"/>
  <c r="T4" i="9" s="1"/>
  <c r="U4" i="9" s="1"/>
  <c r="S5" i="9"/>
  <c r="T5" i="9" s="1"/>
  <c r="U5" i="9" s="1"/>
  <c r="S6" i="9"/>
  <c r="T6" i="9" s="1"/>
  <c r="U6" i="9" s="1"/>
  <c r="S7" i="9"/>
  <c r="T7" i="9" s="1"/>
  <c r="U7" i="9" s="1"/>
  <c r="S8" i="9"/>
  <c r="T8" i="9" s="1"/>
  <c r="U8" i="9" s="1"/>
  <c r="S9" i="9"/>
  <c r="T9" i="9" s="1"/>
  <c r="U9" i="9" s="1"/>
  <c r="S10" i="9"/>
  <c r="T10" i="9" s="1"/>
  <c r="U10" i="9" s="1"/>
  <c r="S11" i="9"/>
  <c r="T11" i="9" s="1"/>
  <c r="U11" i="9" s="1"/>
  <c r="S12" i="9"/>
  <c r="T12" i="9" s="1"/>
  <c r="U12" i="9" s="1"/>
  <c r="S13" i="9"/>
  <c r="T13" i="9" s="1"/>
  <c r="U13" i="9" s="1"/>
  <c r="S14" i="9"/>
  <c r="T14" i="9" s="1"/>
  <c r="U14" i="9" s="1"/>
  <c r="S15" i="9"/>
  <c r="T15" i="9" s="1"/>
  <c r="U15" i="9" s="1"/>
  <c r="S16" i="9"/>
  <c r="T16" i="9" s="1"/>
  <c r="U16" i="9" s="1"/>
  <c r="S17" i="9"/>
  <c r="T17" i="9" s="1"/>
  <c r="U17" i="9" s="1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O2" i="9"/>
  <c r="N2" i="9"/>
  <c r="P2" i="9" s="1"/>
  <c r="L2" i="9"/>
  <c r="R3" i="8"/>
  <c r="R4" i="8"/>
  <c r="R5" i="8"/>
  <c r="R7" i="8"/>
  <c r="R8" i="8"/>
  <c r="R9" i="8"/>
  <c r="R10" i="8"/>
  <c r="R11" i="8"/>
  <c r="R12" i="8"/>
  <c r="R13" i="8"/>
  <c r="R14" i="8"/>
  <c r="R15" i="8"/>
  <c r="R16" i="8"/>
  <c r="R17" i="8"/>
  <c r="Q3" i="8"/>
  <c r="Q4" i="8"/>
  <c r="Q5" i="8"/>
  <c r="Q7" i="8"/>
  <c r="Q8" i="8"/>
  <c r="Q9" i="8"/>
  <c r="Q10" i="8"/>
  <c r="Q11" i="8"/>
  <c r="Q12" i="8"/>
  <c r="Q13" i="8"/>
  <c r="Q14" i="8"/>
  <c r="Q15" i="8"/>
  <c r="Q16" i="8"/>
  <c r="Q17" i="8"/>
  <c r="P3" i="8"/>
  <c r="P4" i="8"/>
  <c r="P5" i="8"/>
  <c r="P7" i="8"/>
  <c r="P8" i="8"/>
  <c r="P9" i="8"/>
  <c r="P10" i="8"/>
  <c r="P11" i="8"/>
  <c r="P12" i="8"/>
  <c r="P13" i="8"/>
  <c r="P14" i="8"/>
  <c r="P15" i="8"/>
  <c r="P16" i="8"/>
  <c r="P17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N3" i="8"/>
  <c r="N4" i="8"/>
  <c r="N5" i="8"/>
  <c r="N6" i="8"/>
  <c r="P6" i="8" s="1"/>
  <c r="N7" i="8"/>
  <c r="N8" i="8"/>
  <c r="N9" i="8"/>
  <c r="N10" i="8"/>
  <c r="N11" i="8"/>
  <c r="N12" i="8"/>
  <c r="N13" i="8"/>
  <c r="N14" i="8"/>
  <c r="N15" i="8"/>
  <c r="N16" i="8"/>
  <c r="N17" i="8"/>
  <c r="M3" i="8"/>
  <c r="M4" i="8"/>
  <c r="M5" i="8"/>
  <c r="M7" i="8"/>
  <c r="M8" i="8"/>
  <c r="M9" i="8"/>
  <c r="M10" i="8"/>
  <c r="M11" i="8"/>
  <c r="M12" i="8"/>
  <c r="M13" i="8"/>
  <c r="M14" i="8"/>
  <c r="M15" i="8"/>
  <c r="M16" i="8"/>
  <c r="M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O2" i="8"/>
  <c r="N2" i="8"/>
  <c r="P2" i="8" s="1"/>
  <c r="L2" i="8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O2" i="7"/>
  <c r="N2" i="7"/>
  <c r="L2" i="7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O2" i="6"/>
  <c r="N2" i="6"/>
  <c r="L2" i="6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O2" i="5"/>
  <c r="N2" i="5"/>
  <c r="P2" i="5" s="1"/>
  <c r="L2" i="5"/>
  <c r="O3" i="4"/>
  <c r="Q3" i="4" s="1"/>
  <c r="R3" i="4" s="1"/>
  <c r="O4" i="4"/>
  <c r="Q4" i="4" s="1"/>
  <c r="R4" i="4" s="1"/>
  <c r="O5" i="4"/>
  <c r="Q5" i="4" s="1"/>
  <c r="R5" i="4" s="1"/>
  <c r="O6" i="4"/>
  <c r="Q6" i="4" s="1"/>
  <c r="R6" i="4" s="1"/>
  <c r="O7" i="4"/>
  <c r="Q7" i="4" s="1"/>
  <c r="R7" i="4" s="1"/>
  <c r="O8" i="4"/>
  <c r="Q8" i="4" s="1"/>
  <c r="R8" i="4" s="1"/>
  <c r="O9" i="4"/>
  <c r="Q9" i="4" s="1"/>
  <c r="R9" i="4" s="1"/>
  <c r="O10" i="4"/>
  <c r="Q10" i="4" s="1"/>
  <c r="R10" i="4" s="1"/>
  <c r="O11" i="4"/>
  <c r="Q11" i="4" s="1"/>
  <c r="R11" i="4" s="1"/>
  <c r="O12" i="4"/>
  <c r="Q12" i="4" s="1"/>
  <c r="R12" i="4" s="1"/>
  <c r="O13" i="4"/>
  <c r="Q13" i="4" s="1"/>
  <c r="R13" i="4" s="1"/>
  <c r="O14" i="4"/>
  <c r="Q14" i="4" s="1"/>
  <c r="R14" i="4" s="1"/>
  <c r="O15" i="4"/>
  <c r="Q15" i="4" s="1"/>
  <c r="R15" i="4" s="1"/>
  <c r="O16" i="4"/>
  <c r="Q16" i="4" s="1"/>
  <c r="R16" i="4" s="1"/>
  <c r="O17" i="4"/>
  <c r="Q17" i="4" s="1"/>
  <c r="R17" i="4" s="1"/>
  <c r="O2" i="4"/>
  <c r="N3" i="4"/>
  <c r="P3" i="4" s="1"/>
  <c r="N4" i="4"/>
  <c r="P4" i="4" s="1"/>
  <c r="N5" i="4"/>
  <c r="P5" i="4" s="1"/>
  <c r="N6" i="4"/>
  <c r="P6" i="4" s="1"/>
  <c r="N7" i="4"/>
  <c r="P7" i="4" s="1"/>
  <c r="N8" i="4"/>
  <c r="P8" i="4" s="1"/>
  <c r="N9" i="4"/>
  <c r="P9" i="4" s="1"/>
  <c r="N10" i="4"/>
  <c r="P10" i="4" s="1"/>
  <c r="N11" i="4"/>
  <c r="P11" i="4" s="1"/>
  <c r="N12" i="4"/>
  <c r="P12" i="4" s="1"/>
  <c r="N13" i="4"/>
  <c r="P13" i="4" s="1"/>
  <c r="N14" i="4"/>
  <c r="P14" i="4" s="1"/>
  <c r="N15" i="4"/>
  <c r="P15" i="4" s="1"/>
  <c r="N16" i="4"/>
  <c r="P16" i="4" s="1"/>
  <c r="N17" i="4"/>
  <c r="P17" i="4" s="1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2" i="4"/>
  <c r="G2" i="3"/>
  <c r="H2" i="3" s="1"/>
  <c r="D2" i="3"/>
  <c r="E2" i="3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N2" i="2"/>
  <c r="P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" i="2"/>
  <c r="R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M10" i="2"/>
  <c r="M11" i="2"/>
  <c r="M12" i="2"/>
  <c r="M13" i="2"/>
  <c r="M14" i="2"/>
  <c r="M15" i="2"/>
  <c r="M16" i="2"/>
  <c r="M17" i="2"/>
  <c r="M18" i="2"/>
  <c r="M19" i="2"/>
  <c r="M20" i="2"/>
  <c r="M22" i="2"/>
  <c r="M23" i="2"/>
  <c r="M24" i="2"/>
  <c r="M2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Q18" i="2" s="1"/>
  <c r="R18" i="2" s="1"/>
  <c r="L19" i="2"/>
  <c r="L20" i="2"/>
  <c r="L21" i="2"/>
  <c r="M21" i="2" s="1"/>
  <c r="L22" i="2"/>
  <c r="L23" i="2"/>
  <c r="L24" i="2"/>
  <c r="L25" i="2"/>
  <c r="L2" i="2"/>
  <c r="Q8" i="39" l="1"/>
  <c r="R8" i="39" s="1"/>
  <c r="T2" i="39"/>
  <c r="U2" i="39" s="1"/>
  <c r="M2" i="39"/>
  <c r="Q2" i="39"/>
  <c r="R2" i="39" s="1"/>
  <c r="P2" i="38"/>
  <c r="Q2" i="38"/>
  <c r="R2" i="38" s="1"/>
  <c r="M2" i="38"/>
  <c r="U2" i="38"/>
  <c r="P2" i="37"/>
  <c r="M2" i="37"/>
  <c r="Q2" i="37"/>
  <c r="R2" i="37" s="1"/>
  <c r="U2" i="37"/>
  <c r="Q2" i="36"/>
  <c r="R2" i="36" s="1"/>
  <c r="P2" i="36"/>
  <c r="U2" i="36"/>
  <c r="P2" i="35"/>
  <c r="Q2" i="35"/>
  <c r="R2" i="35" s="1"/>
  <c r="M2" i="35"/>
  <c r="U2" i="35"/>
  <c r="Q2" i="34"/>
  <c r="R2" i="34" s="1"/>
  <c r="M2" i="34"/>
  <c r="U2" i="34"/>
  <c r="P2" i="33"/>
  <c r="U2" i="33" s="1"/>
  <c r="Q2" i="33"/>
  <c r="R2" i="33" s="1"/>
  <c r="M2" i="33"/>
  <c r="Q2" i="32"/>
  <c r="R2" i="32" s="1"/>
  <c r="M2" i="32"/>
  <c r="U2" i="32"/>
  <c r="P2" i="31"/>
  <c r="U2" i="31" s="1"/>
  <c r="Q2" i="31"/>
  <c r="R2" i="31" s="1"/>
  <c r="M2" i="31"/>
  <c r="P2" i="30"/>
  <c r="U2" i="30" s="1"/>
  <c r="Q2" i="30"/>
  <c r="R2" i="30" s="1"/>
  <c r="M2" i="30"/>
  <c r="U2" i="28"/>
  <c r="Q2" i="28"/>
  <c r="R2" i="28" s="1"/>
  <c r="M2" i="28"/>
  <c r="Q2" i="27"/>
  <c r="R2" i="27" s="1"/>
  <c r="M2" i="27"/>
  <c r="U2" i="27"/>
  <c r="Q2" i="26"/>
  <c r="R2" i="26" s="1"/>
  <c r="M2" i="26"/>
  <c r="U2" i="26"/>
  <c r="P2" i="25"/>
  <c r="U2" i="25" s="1"/>
  <c r="Q2" i="25"/>
  <c r="R2" i="25" s="1"/>
  <c r="M2" i="25"/>
  <c r="Q2" i="24"/>
  <c r="R2" i="24" s="1"/>
  <c r="M2" i="24"/>
  <c r="U2" i="24"/>
  <c r="Q2" i="23"/>
  <c r="R2" i="23" s="1"/>
  <c r="M2" i="23"/>
  <c r="U2" i="23"/>
  <c r="P2" i="22"/>
  <c r="Q2" i="22"/>
  <c r="R2" i="22" s="1"/>
  <c r="M2" i="22"/>
  <c r="U2" i="22"/>
  <c r="P2" i="21"/>
  <c r="U2" i="21" s="1"/>
  <c r="Q2" i="21"/>
  <c r="R2" i="21" s="1"/>
  <c r="M2" i="21"/>
  <c r="T2" i="2"/>
  <c r="U2" i="2" s="1"/>
  <c r="Q2" i="20"/>
  <c r="R2" i="20" s="1"/>
  <c r="M2" i="20"/>
  <c r="Q2" i="19"/>
  <c r="R2" i="19" s="1"/>
  <c r="M2" i="19"/>
  <c r="P2" i="18"/>
  <c r="U2" i="18" s="1"/>
  <c r="M2" i="18"/>
  <c r="Q2" i="18"/>
  <c r="R2" i="18" s="1"/>
  <c r="P2" i="17"/>
  <c r="U2" i="17" s="1"/>
  <c r="Q2" i="17"/>
  <c r="R2" i="17" s="1"/>
  <c r="M2" i="17"/>
  <c r="P2" i="16"/>
  <c r="U2" i="16" s="1"/>
  <c r="Q2" i="16"/>
  <c r="R2" i="16" s="1"/>
  <c r="M2" i="16"/>
  <c r="P2" i="15"/>
  <c r="U2" i="15" s="1"/>
  <c r="Q2" i="15"/>
  <c r="R2" i="15" s="1"/>
  <c r="M2" i="15"/>
  <c r="U2" i="14"/>
  <c r="Q2" i="14"/>
  <c r="R2" i="14" s="1"/>
  <c r="M2" i="14"/>
  <c r="P2" i="13"/>
  <c r="U2" i="13" s="1"/>
  <c r="M2" i="13"/>
  <c r="Q2" i="13"/>
  <c r="R2" i="13" s="1"/>
  <c r="Q2" i="12"/>
  <c r="R2" i="12" s="1"/>
  <c r="M2" i="12"/>
  <c r="U2" i="11"/>
  <c r="Q2" i="11"/>
  <c r="R2" i="11" s="1"/>
  <c r="M2" i="11"/>
  <c r="U2" i="10"/>
  <c r="Q2" i="10"/>
  <c r="R2" i="10" s="1"/>
  <c r="M2" i="10"/>
  <c r="U2" i="9"/>
  <c r="Q2" i="9"/>
  <c r="R2" i="9" s="1"/>
  <c r="M2" i="9"/>
  <c r="Q6" i="8"/>
  <c r="R6" i="8" s="1"/>
  <c r="M6" i="8"/>
  <c r="Q2" i="8"/>
  <c r="R2" i="8" s="1"/>
  <c r="M2" i="8"/>
  <c r="P2" i="7"/>
  <c r="U2" i="7" s="1"/>
  <c r="Q2" i="7"/>
  <c r="R2" i="7" s="1"/>
  <c r="M2" i="7"/>
  <c r="P2" i="6"/>
  <c r="U2" i="6" s="1"/>
  <c r="Q2" i="6"/>
  <c r="R2" i="6" s="1"/>
  <c r="M2" i="6"/>
  <c r="Q2" i="5"/>
  <c r="R2" i="5" s="1"/>
  <c r="M2" i="5"/>
  <c r="P2" i="4"/>
  <c r="U2" i="4" s="1"/>
  <c r="M2" i="4"/>
  <c r="Q2" i="4"/>
  <c r="R2" i="4" s="1"/>
  <c r="I2" i="3"/>
  <c r="M3" i="2"/>
  <c r="Q3" i="2"/>
  <c r="R3" i="2" s="1"/>
  <c r="M4" i="2"/>
  <c r="Q4" i="2"/>
  <c r="R4" i="2" s="1"/>
  <c r="Q5" i="2"/>
  <c r="R5" i="2" s="1"/>
  <c r="M5" i="2"/>
  <c r="M6" i="2"/>
  <c r="Q6" i="2"/>
  <c r="R6" i="2" s="1"/>
  <c r="M7" i="2"/>
  <c r="Q7" i="2"/>
  <c r="R7" i="2" s="1"/>
  <c r="M8" i="2"/>
  <c r="Q8" i="2"/>
  <c r="R8" i="2" s="1"/>
  <c r="M9" i="2"/>
  <c r="Q9" i="2"/>
  <c r="R9" i="2" s="1"/>
</calcChain>
</file>

<file path=xl/sharedStrings.xml><?xml version="1.0" encoding="utf-8"?>
<sst xmlns="http://schemas.openxmlformats.org/spreadsheetml/2006/main" count="892" uniqueCount="98">
  <si>
    <t>Specimen</t>
    <phoneticPr fontId="1" type="noConversion"/>
  </si>
  <si>
    <t>G1S1</t>
    <phoneticPr fontId="1" type="noConversion"/>
  </si>
  <si>
    <t>tickness (mm)</t>
    <phoneticPr fontId="1" type="noConversion"/>
  </si>
  <si>
    <t>width (mm)</t>
    <phoneticPr fontId="1" type="noConversion"/>
  </si>
  <si>
    <t>a0 (mm)</t>
    <phoneticPr fontId="1" type="noConversion"/>
  </si>
  <si>
    <t>G1S1 (DCB)</t>
    <phoneticPr fontId="1" type="noConversion"/>
  </si>
  <si>
    <t>Crack length (mm)</t>
    <phoneticPr fontId="1" type="noConversion"/>
  </si>
  <si>
    <t>Displacement (mm)</t>
    <phoneticPr fontId="1" type="noConversion"/>
  </si>
  <si>
    <t>Load (N)</t>
    <phoneticPr fontId="1" type="noConversion"/>
  </si>
  <si>
    <t>Pre-crack</t>
    <phoneticPr fontId="1" type="noConversion"/>
  </si>
  <si>
    <t>G1S2</t>
    <phoneticPr fontId="1" type="noConversion"/>
  </si>
  <si>
    <r>
      <t>l</t>
    </r>
    <r>
      <rPr>
        <sz val="8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(mm)</t>
    </r>
    <phoneticPr fontId="1" type="noConversion"/>
  </si>
  <si>
    <r>
      <t>l</t>
    </r>
    <r>
      <rPr>
        <sz val="8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(mm)</t>
    </r>
    <phoneticPr fontId="1" type="noConversion"/>
  </si>
  <si>
    <t>C=δ/P (mm/N)</t>
    <phoneticPr fontId="1" type="noConversion"/>
  </si>
  <si>
    <t>C^(1/3)</t>
    <phoneticPr fontId="1" type="noConversion"/>
  </si>
  <si>
    <t>F</t>
    <phoneticPr fontId="1" type="noConversion"/>
  </si>
  <si>
    <t>N</t>
    <phoneticPr fontId="1" type="noConversion"/>
  </si>
  <si>
    <t>C/N</t>
    <phoneticPr fontId="1" type="noConversion"/>
  </si>
  <si>
    <t>(C/N)^(1/3)</t>
    <phoneticPr fontId="1" type="noConversion"/>
  </si>
  <si>
    <r>
      <rPr>
        <sz val="11"/>
        <color theme="1"/>
        <rFont val="Times New Roman"/>
        <family val="1"/>
      </rPr>
      <t>Δ</t>
    </r>
    <r>
      <rPr>
        <sz val="10.35"/>
        <color theme="1"/>
        <rFont val="等线"/>
        <family val="3"/>
        <charset val="134"/>
        <scheme val="minor"/>
      </rPr>
      <t>=xh</t>
    </r>
    <phoneticPr fontId="1" type="noConversion"/>
  </si>
  <si>
    <r>
      <t>a</t>
    </r>
    <r>
      <rPr>
        <sz val="8"/>
        <color theme="1"/>
        <rFont val="等线"/>
        <family val="3"/>
        <charset val="134"/>
        <scheme val="minor"/>
      </rPr>
      <t>eff</t>
    </r>
    <r>
      <rPr>
        <sz val="11"/>
        <color theme="1"/>
        <rFont val="等线"/>
        <family val="2"/>
        <scheme val="minor"/>
      </rPr>
      <t>=a+</t>
    </r>
    <r>
      <rPr>
        <sz val="11"/>
        <color theme="1"/>
        <rFont val="等线"/>
        <family val="1"/>
        <charset val="134"/>
      </rPr>
      <t>Δ</t>
    </r>
    <phoneticPr fontId="1" type="noConversion"/>
  </si>
  <si>
    <t>F/N</t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</si>
  <si>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IC</t>
    </r>
    <r>
      <rPr>
        <sz val="11"/>
        <color theme="1"/>
        <rFont val="等线"/>
        <family val="2"/>
        <scheme val="minor"/>
      </rPr>
      <t xml:space="preserve"> (kJ/m²)</t>
    </r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</si>
  <si>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IC</t>
    </r>
    <r>
      <rPr>
        <sz val="11"/>
        <color theme="1"/>
        <rFont val="等线"/>
        <family val="2"/>
        <scheme val="minor"/>
      </rPr>
      <t xml:space="preserve"> (J/m²)</t>
    </r>
    <phoneticPr fontId="1" type="noConversion"/>
  </si>
  <si>
    <t>ave</t>
    <phoneticPr fontId="1" type="noConversion"/>
  </si>
  <si>
    <t>t/2</t>
    <phoneticPr fontId="1" type="noConversion"/>
  </si>
  <si>
    <t>L</t>
    <phoneticPr fontId="1" type="noConversion"/>
  </si>
  <si>
    <t>L/2</t>
    <phoneticPr fontId="1" type="noConversion"/>
  </si>
  <si>
    <t>G1S3</t>
    <phoneticPr fontId="1" type="noConversion"/>
  </si>
  <si>
    <t>G1S3 (DCB)</t>
    <phoneticPr fontId="1" type="noConversion"/>
  </si>
  <si>
    <t>G1S2 (DCB)</t>
    <phoneticPr fontId="1" type="noConversion"/>
  </si>
  <si>
    <t>G1S4</t>
    <phoneticPr fontId="1" type="noConversion"/>
  </si>
  <si>
    <t>G1S4 (DCB)</t>
    <phoneticPr fontId="1" type="noConversion"/>
  </si>
  <si>
    <t>G1S5</t>
    <phoneticPr fontId="1" type="noConversion"/>
  </si>
  <si>
    <t>G1S5 (DCB)</t>
    <phoneticPr fontId="1" type="noConversion"/>
  </si>
  <si>
    <t>G1S6</t>
    <phoneticPr fontId="1" type="noConversion"/>
  </si>
  <si>
    <t>G1S6 (DCB)</t>
    <phoneticPr fontId="1" type="noConversion"/>
  </si>
  <si>
    <t>G1S7</t>
    <phoneticPr fontId="1" type="noConversion"/>
  </si>
  <si>
    <t>G1S7 (DCB)</t>
    <phoneticPr fontId="1" type="noConversion"/>
  </si>
  <si>
    <t>G1S8</t>
    <phoneticPr fontId="1" type="noConversion"/>
  </si>
  <si>
    <t>G1S8 (DCB)</t>
    <phoneticPr fontId="1" type="noConversion"/>
  </si>
  <si>
    <t>G1S9</t>
    <phoneticPr fontId="1" type="noConversion"/>
  </si>
  <si>
    <t>G1S9 (DCB)</t>
    <phoneticPr fontId="1" type="noConversion"/>
  </si>
  <si>
    <t>G2S1</t>
    <phoneticPr fontId="1" type="noConversion"/>
  </si>
  <si>
    <t>G2S1 (DCB)</t>
    <phoneticPr fontId="1" type="noConversion"/>
  </si>
  <si>
    <t>G2S2</t>
    <phoneticPr fontId="1" type="noConversion"/>
  </si>
  <si>
    <t>G2S2 (DCB)</t>
    <phoneticPr fontId="1" type="noConversion"/>
  </si>
  <si>
    <t>G2S3</t>
    <phoneticPr fontId="1" type="noConversion"/>
  </si>
  <si>
    <t>G2S3 (DCB)</t>
    <phoneticPr fontId="1" type="noConversion"/>
  </si>
  <si>
    <t>G2S4</t>
    <phoneticPr fontId="1" type="noConversion"/>
  </si>
  <si>
    <t>G2S4 (DCB)</t>
    <phoneticPr fontId="1" type="noConversion"/>
  </si>
  <si>
    <t>G2S5</t>
    <phoneticPr fontId="1" type="noConversion"/>
  </si>
  <si>
    <t>G2S5 (DCB)</t>
    <phoneticPr fontId="1" type="noConversion"/>
  </si>
  <si>
    <t>G2S6</t>
    <phoneticPr fontId="1" type="noConversion"/>
  </si>
  <si>
    <t>G2S6 (DCB)</t>
    <phoneticPr fontId="1" type="noConversion"/>
  </si>
  <si>
    <t>G2S7</t>
    <phoneticPr fontId="1" type="noConversion"/>
  </si>
  <si>
    <t>G2S7 (DCB)</t>
    <phoneticPr fontId="1" type="noConversion"/>
  </si>
  <si>
    <t>G2S8</t>
    <phoneticPr fontId="1" type="noConversion"/>
  </si>
  <si>
    <t>G2S8 (DCB)</t>
    <phoneticPr fontId="1" type="noConversion"/>
  </si>
  <si>
    <t>G2S9</t>
    <phoneticPr fontId="1" type="noConversion"/>
  </si>
  <si>
    <t>G2S9 (DCB)</t>
    <phoneticPr fontId="1" type="noConversion"/>
  </si>
  <si>
    <t>G3S1</t>
    <phoneticPr fontId="1" type="noConversion"/>
  </si>
  <si>
    <t>G3S1 (DCB)</t>
    <phoneticPr fontId="1" type="noConversion"/>
  </si>
  <si>
    <t>G3S2</t>
    <phoneticPr fontId="1" type="noConversion"/>
  </si>
  <si>
    <t>G3S2 (DCB)</t>
    <phoneticPr fontId="1" type="noConversion"/>
  </si>
  <si>
    <t>G3S3</t>
    <phoneticPr fontId="1" type="noConversion"/>
  </si>
  <si>
    <t>G3S3 (DCB)</t>
    <phoneticPr fontId="1" type="noConversion"/>
  </si>
  <si>
    <t>G3S4</t>
    <phoneticPr fontId="1" type="noConversion"/>
  </si>
  <si>
    <t>G3S4 (DCB)</t>
    <phoneticPr fontId="1" type="noConversion"/>
  </si>
  <si>
    <t>G3S5</t>
    <phoneticPr fontId="1" type="noConversion"/>
  </si>
  <si>
    <t>G3S5 (DCB)</t>
    <phoneticPr fontId="1" type="noConversion"/>
  </si>
  <si>
    <t>G3S6</t>
    <phoneticPr fontId="1" type="noConversion"/>
  </si>
  <si>
    <t>G3S6 (DCB)</t>
    <phoneticPr fontId="1" type="noConversion"/>
  </si>
  <si>
    <t>G3S7</t>
    <phoneticPr fontId="1" type="noConversion"/>
  </si>
  <si>
    <t>G3S7 (DCB)</t>
    <phoneticPr fontId="1" type="noConversion"/>
  </si>
  <si>
    <t>G3S8</t>
    <phoneticPr fontId="1" type="noConversion"/>
  </si>
  <si>
    <t>G3S8 (DCB)</t>
    <phoneticPr fontId="1" type="noConversion"/>
  </si>
  <si>
    <t>G3S9</t>
    <phoneticPr fontId="1" type="noConversion"/>
  </si>
  <si>
    <t>G3S9 (DCB)</t>
    <phoneticPr fontId="1" type="noConversion"/>
  </si>
  <si>
    <t>G4S1</t>
    <phoneticPr fontId="1" type="noConversion"/>
  </si>
  <si>
    <t>G4S1 (DCB)</t>
    <phoneticPr fontId="1" type="noConversion"/>
  </si>
  <si>
    <t>G4S2</t>
    <phoneticPr fontId="1" type="noConversion"/>
  </si>
  <si>
    <t>G4S2 (DCB)</t>
    <phoneticPr fontId="1" type="noConversion"/>
  </si>
  <si>
    <t>G4S3</t>
    <phoneticPr fontId="1" type="noConversion"/>
  </si>
  <si>
    <t>G4S3 (DCB)</t>
    <phoneticPr fontId="1" type="noConversion"/>
  </si>
  <si>
    <t>G4S4</t>
    <phoneticPr fontId="1" type="noConversion"/>
  </si>
  <si>
    <t>G4S4 (DCB)</t>
    <phoneticPr fontId="1" type="noConversion"/>
  </si>
  <si>
    <t>G4S5</t>
    <phoneticPr fontId="1" type="noConversion"/>
  </si>
  <si>
    <t>G4S5 (DCB)</t>
    <phoneticPr fontId="1" type="noConversion"/>
  </si>
  <si>
    <t>G4S6</t>
    <phoneticPr fontId="1" type="noConversion"/>
  </si>
  <si>
    <t>G4S6 (DCB)</t>
    <phoneticPr fontId="1" type="noConversion"/>
  </si>
  <si>
    <t>G4S7</t>
    <phoneticPr fontId="1" type="noConversion"/>
  </si>
  <si>
    <t>G4S7 (DCB)</t>
    <phoneticPr fontId="1" type="noConversion"/>
  </si>
  <si>
    <t>G4S8</t>
    <phoneticPr fontId="1" type="noConversion"/>
  </si>
  <si>
    <t>G4S8 (DCB)</t>
    <phoneticPr fontId="1" type="noConversion"/>
  </si>
  <si>
    <t>G4S9</t>
    <phoneticPr fontId="1" type="noConversion"/>
  </si>
  <si>
    <t>G4S9 (DCB)</t>
    <phoneticPr fontId="1" type="noConversion"/>
  </si>
  <si>
    <r>
      <t>G</t>
    </r>
    <r>
      <rPr>
        <sz val="8"/>
        <color theme="1"/>
        <rFont val="等线"/>
        <family val="3"/>
        <charset val="134"/>
        <scheme val="minor"/>
      </rPr>
      <t>IC,prop</t>
    </r>
    <r>
      <rPr>
        <sz val="11"/>
        <color theme="1"/>
        <rFont val="等线"/>
        <family val="2"/>
        <scheme val="minor"/>
      </rPr>
      <t xml:space="preserve"> (J/m²)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</si>
</sst>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name val="Carlito"/>
    </font>
    <font>
      <sz val="10.35"/>
      <color theme="1"/>
      <name val="等线"/>
      <family val="3"/>
      <charset val="134"/>
      <scheme val="minor"/>
    </font>
    <font>
      <sz val="11"/>
      <color theme="1"/>
      <name val="等线"/>
      <family val="1"/>
      <charset val="134"/>
    </font>
    <font>
      <sz val="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</cellXfs>
  <cellStyles count="2">
    <cellStyle name="Normal" xfId="1" xr:uid="{DA8C2199-1FAD-4F0D-BF2A-034475FE3C6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8"/>
  <sheetViews>
    <sheetView topLeftCell="O1" workbookViewId="0">
      <selection activeCell="V2" sqref="V2"/>
    </sheetView>
  </sheetViews>
  <sheetFormatPr defaultRowHeight="14"/>
  <cols>
    <col min="2" max="2" width="12.58203125" customWidth="1"/>
    <col min="3" max="3" width="10" customWidth="1"/>
    <col min="6" max="6" width="9.1640625" customWidth="1"/>
    <col min="7" max="7" width="9.33203125" customWidth="1"/>
    <col min="8" max="8" width="16.58203125" customWidth="1"/>
    <col min="9" max="9" width="16.4140625" customWidth="1"/>
    <col min="10" max="10" width="18.33203125" customWidth="1"/>
    <col min="11" max="11" width="12.9140625" customWidth="1"/>
    <col min="12" max="12" width="13.25" customWidth="1"/>
    <col min="18" max="18" width="12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1</v>
      </c>
      <c r="B2" s="2">
        <v>4</v>
      </c>
      <c r="C2" s="2">
        <v>25</v>
      </c>
      <c r="D2" s="2">
        <v>53</v>
      </c>
      <c r="E2" s="2">
        <v>8</v>
      </c>
      <c r="F2" s="2">
        <v>9.5</v>
      </c>
      <c r="G2" s="2">
        <f>0.14303/0.00595</f>
        <v>24.03865546218487</v>
      </c>
      <c r="H2" s="2" t="s">
        <v>9</v>
      </c>
      <c r="I2" s="2">
        <v>53</v>
      </c>
      <c r="J2" s="2">
        <v>4.0199999999999996</v>
      </c>
      <c r="K2" s="2">
        <v>40.67</v>
      </c>
      <c r="L2" s="3">
        <f>J2:J18/K2:K18</f>
        <v>9.8844357019916382E-2</v>
      </c>
      <c r="M2" s="3">
        <f>L2:L18^(1/3)</f>
        <v>0.4623639446226735</v>
      </c>
      <c r="N2" s="3">
        <f>1-((3/10)*(J2:J25/I2:I25)^2)-((3/2)*((J2:J25*8)/(I2:I25)^2))</f>
        <v>0.98110070487718049</v>
      </c>
      <c r="O2" s="3">
        <f>1-(9.5/I2:I25)^3-((9/8)*(1-(9.5/I2:I25)^2)*((J2:J25*8)/I2:I25^2))-((9/35)*(J2:J25/I2:I25)^2)</f>
        <v>0.98029548036642422</v>
      </c>
      <c r="P2" s="3">
        <f>N2:N18/O2:O18</f>
        <v>1.0008214100002331</v>
      </c>
      <c r="Q2" s="3">
        <f>L2:L18/O2:O18</f>
        <v>0.10083118712632379</v>
      </c>
      <c r="R2" s="3">
        <f>Q2:Q18^(1/3)</f>
        <v>0.46544134630301059</v>
      </c>
      <c r="S2" s="3">
        <f>I2:I18+24.03866</f>
        <v>77.038659999999993</v>
      </c>
      <c r="T2" s="3">
        <f>(P2:P25*3*K2:K25*J2:J25)/(2*25*S2:S25)</f>
        <v>0.12743811622403514</v>
      </c>
      <c r="U2" s="3">
        <f>T2:T18*1000</f>
        <v>127.43811622403514</v>
      </c>
      <c r="V2">
        <f>AVERAGE(U3:U18)</f>
        <v>128.0822534145384</v>
      </c>
    </row>
    <row r="3" spans="1:22">
      <c r="A3" s="1"/>
      <c r="B3" s="1"/>
      <c r="C3" s="1"/>
      <c r="D3" s="1"/>
      <c r="E3" s="1"/>
      <c r="F3" s="1"/>
      <c r="G3" s="1"/>
      <c r="H3" s="1">
        <v>1</v>
      </c>
      <c r="I3" s="1">
        <v>55</v>
      </c>
      <c r="J3" s="1">
        <v>4.1100000000000003</v>
      </c>
      <c r="K3" s="1">
        <v>40.44</v>
      </c>
      <c r="L3">
        <f t="shared" ref="L3:L18" si="0">J3:J19/K3:K19</f>
        <v>0.10163204747774482</v>
      </c>
      <c r="M3">
        <f t="shared" ref="M3:M18" si="1">L3:L19^(1/3)</f>
        <v>0.46667036742525031</v>
      </c>
      <c r="N3">
        <f t="shared" ref="N3:N18" si="2">1-((3/10)*(J3:J26/I3:I26)^2)-((3/2)*((J3:J26*8)/(I3:I26)^2))</f>
        <v>0.98202061818181818</v>
      </c>
      <c r="O3">
        <f t="shared" ref="O3:O18" si="3">1-(9.5/I3:I26)^3-((9/8)*(1-(9.5/I3:I26)^2)*((J3:J26*8)/I3:I26^2))-((9/35)*(J3:J26/I3:I26)^2)</f>
        <v>0.98154752619161467</v>
      </c>
      <c r="P3">
        <f t="shared" ref="P3:P18" si="4">N3:N19/O3:O19</f>
        <v>1.0004819858209404</v>
      </c>
      <c r="Q3">
        <f t="shared" ref="Q3:Q18" si="5">L3:L19/O3:O19</f>
        <v>0.10354266580659134</v>
      </c>
      <c r="R3">
        <f t="shared" ref="R3:R18" si="6">Q3:Q19^(1/3)</f>
        <v>0.46957660044630495</v>
      </c>
      <c r="S3">
        <f t="shared" ref="S3:S18" si="7">I3:I19+24.03866</f>
        <v>79.038659999999993</v>
      </c>
      <c r="T3">
        <f t="shared" ref="T3:T18" si="8">(P3:P26*3*K3:K26*J3:J26)/(2*25*S3:S26)</f>
        <v>0.12623329653523063</v>
      </c>
      <c r="U3">
        <f t="shared" ref="U3:U18" si="9">T3:T19*1000</f>
        <v>126.23329653523064</v>
      </c>
    </row>
    <row r="4" spans="1:22">
      <c r="A4" s="1"/>
      <c r="B4" s="1"/>
      <c r="C4" s="1"/>
      <c r="D4" s="1"/>
      <c r="E4" s="1"/>
      <c r="F4" s="1"/>
      <c r="G4" s="1"/>
      <c r="H4" s="1">
        <v>2</v>
      </c>
      <c r="I4" s="1">
        <v>57</v>
      </c>
      <c r="J4" s="1">
        <v>4.34</v>
      </c>
      <c r="K4" s="1">
        <v>39.880000000000003</v>
      </c>
      <c r="L4">
        <f t="shared" si="0"/>
        <v>0.10882647943831493</v>
      </c>
      <c r="M4">
        <f t="shared" si="1"/>
        <v>0.47743200250758894</v>
      </c>
      <c r="N4">
        <f t="shared" si="2"/>
        <v>0.98223124653739613</v>
      </c>
      <c r="O4">
        <f t="shared" si="3"/>
        <v>0.98219141069046889</v>
      </c>
      <c r="P4">
        <f t="shared" si="4"/>
        <v>1.0000405581300078</v>
      </c>
      <c r="Q4">
        <f t="shared" si="5"/>
        <v>0.11079966517097845</v>
      </c>
      <c r="R4">
        <f t="shared" si="6"/>
        <v>0.48030025365257728</v>
      </c>
      <c r="S4">
        <f t="shared" si="7"/>
        <v>81.038659999999993</v>
      </c>
      <c r="T4">
        <f t="shared" si="8"/>
        <v>0.12815085029937212</v>
      </c>
      <c r="U4">
        <f t="shared" si="9"/>
        <v>128.15085029937211</v>
      </c>
    </row>
    <row r="5" spans="1:22">
      <c r="A5" s="1"/>
      <c r="B5" s="1"/>
      <c r="C5" s="1"/>
      <c r="D5" s="1"/>
      <c r="E5" s="1"/>
      <c r="F5" s="1"/>
      <c r="G5" s="1"/>
      <c r="H5" s="1">
        <v>3</v>
      </c>
      <c r="I5" s="1">
        <v>59</v>
      </c>
      <c r="J5" s="1">
        <v>4.58</v>
      </c>
      <c r="K5" s="1">
        <v>38.200000000000003</v>
      </c>
      <c r="L5">
        <f t="shared" si="0"/>
        <v>0.11989528795811517</v>
      </c>
      <c r="M5">
        <f t="shared" si="1"/>
        <v>0.49309890528136718</v>
      </c>
      <c r="N5">
        <f t="shared" si="2"/>
        <v>0.98240364263142776</v>
      </c>
      <c r="O5">
        <f t="shared" si="3"/>
        <v>0.98274144714324696</v>
      </c>
      <c r="P5">
        <f t="shared" si="4"/>
        <v>0.99965626308649014</v>
      </c>
      <c r="Q5">
        <f t="shared" si="5"/>
        <v>0.12200084600750427</v>
      </c>
      <c r="R5">
        <f t="shared" si="6"/>
        <v>0.49596871280858296</v>
      </c>
      <c r="S5">
        <f t="shared" si="7"/>
        <v>83.038659999999993</v>
      </c>
      <c r="T5">
        <f t="shared" si="8"/>
        <v>0.12637188111987357</v>
      </c>
      <c r="U5">
        <f t="shared" si="9"/>
        <v>126.37188111987358</v>
      </c>
    </row>
    <row r="6" spans="1:22">
      <c r="A6" s="1"/>
      <c r="B6" s="1"/>
      <c r="C6" s="1"/>
      <c r="D6" s="1"/>
      <c r="E6" s="1"/>
      <c r="F6" s="1"/>
      <c r="G6" s="1"/>
      <c r="H6" s="1">
        <v>4</v>
      </c>
      <c r="I6" s="1">
        <v>60</v>
      </c>
      <c r="J6" s="1">
        <v>4.66</v>
      </c>
      <c r="K6" s="1">
        <v>38.82</v>
      </c>
      <c r="L6">
        <f t="shared" si="0"/>
        <v>0.12004121586810923</v>
      </c>
      <c r="M6">
        <f t="shared" si="1"/>
        <v>0.49329887899741742</v>
      </c>
      <c r="N6">
        <f t="shared" si="2"/>
        <v>0.98265703333333343</v>
      </c>
      <c r="O6">
        <f t="shared" si="3"/>
        <v>0.98312161603835979</v>
      </c>
      <c r="P6">
        <f t="shared" si="4"/>
        <v>0.99952744126723769</v>
      </c>
      <c r="Q6">
        <f t="shared" si="5"/>
        <v>0.12210210202867253</v>
      </c>
      <c r="R6">
        <f t="shared" si="6"/>
        <v>0.49610588653324977</v>
      </c>
      <c r="S6">
        <f t="shared" si="7"/>
        <v>84.038659999999993</v>
      </c>
      <c r="T6">
        <f t="shared" si="8"/>
        <v>0.12909466682941365</v>
      </c>
      <c r="U6">
        <f t="shared" si="9"/>
        <v>129.09466682941365</v>
      </c>
    </row>
    <row r="7" spans="1:22">
      <c r="A7" s="1"/>
      <c r="B7" s="1"/>
      <c r="C7" s="1"/>
      <c r="D7" s="1"/>
      <c r="E7" s="1"/>
      <c r="F7" s="1"/>
      <c r="G7" s="1"/>
      <c r="H7" s="1">
        <v>5</v>
      </c>
      <c r="I7" s="1">
        <v>61</v>
      </c>
      <c r="J7" s="1">
        <v>4.78</v>
      </c>
      <c r="K7" s="1">
        <v>38.229999999999997</v>
      </c>
      <c r="L7">
        <f t="shared" si="0"/>
        <v>0.12503269683494639</v>
      </c>
      <c r="M7">
        <f t="shared" si="1"/>
        <v>0.50004359197929682</v>
      </c>
      <c r="N7">
        <f t="shared" si="2"/>
        <v>0.98274267132491266</v>
      </c>
      <c r="O7">
        <f t="shared" si="3"/>
        <v>0.98336274828438175</v>
      </c>
      <c r="P7">
        <f t="shared" si="4"/>
        <v>0.99936943212405505</v>
      </c>
      <c r="Q7">
        <f t="shared" si="5"/>
        <v>0.12714809164073376</v>
      </c>
      <c r="R7">
        <f t="shared" si="6"/>
        <v>0.50284787065672087</v>
      </c>
      <c r="S7">
        <f t="shared" si="7"/>
        <v>85.038659999999993</v>
      </c>
      <c r="T7">
        <f t="shared" si="8"/>
        <v>0.12885257392674618</v>
      </c>
      <c r="U7">
        <f t="shared" si="9"/>
        <v>128.85257392674617</v>
      </c>
    </row>
    <row r="8" spans="1:22">
      <c r="A8" s="1"/>
      <c r="B8" s="1"/>
      <c r="C8" s="1"/>
      <c r="D8" s="1"/>
      <c r="E8" s="1"/>
      <c r="F8" s="1"/>
      <c r="G8" s="1"/>
      <c r="H8" s="1">
        <v>6</v>
      </c>
      <c r="I8" s="1">
        <v>63</v>
      </c>
      <c r="J8" s="1">
        <v>4.97</v>
      </c>
      <c r="K8" s="1">
        <v>36.03</v>
      </c>
      <c r="L8">
        <f t="shared" si="0"/>
        <v>0.13794060505134609</v>
      </c>
      <c r="M8">
        <f t="shared" si="1"/>
        <v>0.51669077636996141</v>
      </c>
      <c r="N8">
        <f t="shared" si="2"/>
        <v>0.98310650793650789</v>
      </c>
      <c r="O8">
        <f t="shared" si="3"/>
        <v>0.98395724771742921</v>
      </c>
      <c r="P8">
        <f t="shared" si="4"/>
        <v>0.99913538948679437</v>
      </c>
      <c r="Q8">
        <f t="shared" si="5"/>
        <v>0.14018963259972814</v>
      </c>
      <c r="R8">
        <f t="shared" si="6"/>
        <v>0.51948374873439473</v>
      </c>
      <c r="S8">
        <f t="shared" si="7"/>
        <v>87.038659999999993</v>
      </c>
      <c r="T8">
        <f t="shared" si="8"/>
        <v>0.12333434933870745</v>
      </c>
      <c r="U8">
        <f t="shared" si="9"/>
        <v>123.33434933870744</v>
      </c>
    </row>
    <row r="9" spans="1:22">
      <c r="A9" s="1"/>
      <c r="B9" s="1"/>
      <c r="C9" s="1"/>
      <c r="D9" s="1"/>
      <c r="E9" s="1"/>
      <c r="F9" s="1"/>
      <c r="G9" s="1"/>
      <c r="H9" s="1">
        <v>7</v>
      </c>
      <c r="I9" s="1">
        <v>65</v>
      </c>
      <c r="J9" s="1">
        <v>5.22</v>
      </c>
      <c r="K9" s="1">
        <v>35.1</v>
      </c>
      <c r="L9">
        <f t="shared" si="0"/>
        <v>0.14871794871794872</v>
      </c>
      <c r="M9">
        <f t="shared" si="1"/>
        <v>0.5298111926474609</v>
      </c>
      <c r="N9">
        <f t="shared" si="2"/>
        <v>0.98323916686390533</v>
      </c>
      <c r="O9">
        <f t="shared" si="3"/>
        <v>0.98433761449328994</v>
      </c>
      <c r="P9">
        <f t="shared" si="4"/>
        <v>0.99888407431229775</v>
      </c>
      <c r="Q9">
        <f t="shared" si="5"/>
        <v>0.15108428909780577</v>
      </c>
      <c r="R9">
        <f t="shared" si="6"/>
        <v>0.53260646666366451</v>
      </c>
      <c r="S9">
        <f t="shared" si="7"/>
        <v>89.038659999999993</v>
      </c>
      <c r="T9">
        <f t="shared" si="8"/>
        <v>0.12332903787881432</v>
      </c>
      <c r="U9">
        <f t="shared" si="9"/>
        <v>123.32903787881432</v>
      </c>
    </row>
    <row r="10" spans="1:22">
      <c r="A10" s="1"/>
      <c r="B10" s="1"/>
      <c r="C10" s="1"/>
      <c r="D10" s="1"/>
      <c r="E10" s="1"/>
      <c r="F10" s="1"/>
      <c r="G10" s="1"/>
      <c r="H10" s="1">
        <v>8</v>
      </c>
      <c r="I10" s="1">
        <v>67</v>
      </c>
      <c r="J10" s="1">
        <v>5.56</v>
      </c>
      <c r="K10" s="1">
        <v>34.549999999999997</v>
      </c>
      <c r="L10">
        <f t="shared" si="0"/>
        <v>0.1609261939218524</v>
      </c>
      <c r="M10">
        <f t="shared" si="1"/>
        <v>0.54392904063120751</v>
      </c>
      <c r="N10">
        <f t="shared" si="2"/>
        <v>0.9830710447761194</v>
      </c>
      <c r="O10">
        <f t="shared" si="3"/>
        <v>0.98445537669577499</v>
      </c>
      <c r="P10">
        <f t="shared" si="4"/>
        <v>0.99859380937681308</v>
      </c>
      <c r="Q10">
        <f t="shared" si="5"/>
        <v>0.16346723044165284</v>
      </c>
      <c r="R10">
        <f t="shared" si="6"/>
        <v>0.5467769962854675</v>
      </c>
      <c r="S10">
        <f t="shared" si="7"/>
        <v>91.038659999999993</v>
      </c>
      <c r="T10">
        <f t="shared" si="8"/>
        <v>0.12642620635694793</v>
      </c>
      <c r="U10">
        <f t="shared" si="9"/>
        <v>126.42620635694793</v>
      </c>
    </row>
    <row r="11" spans="1:22">
      <c r="A11" s="1"/>
      <c r="B11" s="1"/>
      <c r="C11" s="1"/>
      <c r="D11" s="1"/>
      <c r="E11" s="1"/>
      <c r="F11" s="1"/>
      <c r="G11" s="1"/>
      <c r="H11" s="1">
        <v>9</v>
      </c>
      <c r="I11" s="1">
        <v>69</v>
      </c>
      <c r="J11" s="1">
        <v>5.81</v>
      </c>
      <c r="K11" s="1">
        <v>34.549999999999997</v>
      </c>
      <c r="L11">
        <f t="shared" si="0"/>
        <v>0.16816208393632417</v>
      </c>
      <c r="M11">
        <f t="shared" si="1"/>
        <v>0.55196222954508467</v>
      </c>
      <c r="N11">
        <f t="shared" si="2"/>
        <v>0.98322897920604913</v>
      </c>
      <c r="O11">
        <f t="shared" si="3"/>
        <v>0.9847921339882556</v>
      </c>
      <c r="P11">
        <f t="shared" si="4"/>
        <v>0.99841270586120956</v>
      </c>
      <c r="Q11">
        <f t="shared" si="5"/>
        <v>0.17075896337158358</v>
      </c>
      <c r="R11">
        <f t="shared" si="6"/>
        <v>0.55478899358710865</v>
      </c>
      <c r="S11">
        <f t="shared" si="7"/>
        <v>93.038659999999993</v>
      </c>
      <c r="T11">
        <f t="shared" si="8"/>
        <v>0.12924748081113988</v>
      </c>
      <c r="U11">
        <f t="shared" si="9"/>
        <v>129.24748081113987</v>
      </c>
    </row>
    <row r="12" spans="1:22">
      <c r="A12" s="1"/>
      <c r="B12" s="1"/>
      <c r="C12" s="1"/>
      <c r="D12" s="1"/>
      <c r="E12" s="1"/>
      <c r="F12" s="1"/>
      <c r="G12" s="1"/>
      <c r="H12" s="1">
        <v>10</v>
      </c>
      <c r="I12" s="1">
        <v>70</v>
      </c>
      <c r="J12" s="1">
        <v>5.92</v>
      </c>
      <c r="K12" s="1">
        <v>34.25</v>
      </c>
      <c r="L12">
        <f t="shared" si="0"/>
        <v>0.17284671532846715</v>
      </c>
      <c r="M12">
        <f t="shared" si="1"/>
        <v>0.5570408484154985</v>
      </c>
      <c r="N12">
        <f t="shared" si="2"/>
        <v>0.98335634285714291</v>
      </c>
      <c r="O12">
        <f t="shared" si="3"/>
        <v>0.98498799691795091</v>
      </c>
      <c r="P12">
        <f t="shared" si="4"/>
        <v>0.99834347822926428</v>
      </c>
      <c r="Q12">
        <f t="shared" si="5"/>
        <v>0.175481037199751</v>
      </c>
      <c r="R12">
        <f t="shared" si="6"/>
        <v>0.5598565078778952</v>
      </c>
      <c r="S12">
        <f t="shared" si="7"/>
        <v>94.038659999999993</v>
      </c>
      <c r="T12">
        <f t="shared" si="8"/>
        <v>0.12915376951081542</v>
      </c>
      <c r="U12">
        <f t="shared" si="9"/>
        <v>129.15376951081541</v>
      </c>
    </row>
    <row r="13" spans="1:22">
      <c r="A13" s="1"/>
      <c r="B13" s="1"/>
      <c r="C13" s="1"/>
      <c r="D13" s="1"/>
      <c r="E13" s="1"/>
      <c r="F13" s="1"/>
      <c r="G13" s="1"/>
      <c r="H13" s="1">
        <v>11</v>
      </c>
      <c r="I13" s="1">
        <v>72</v>
      </c>
      <c r="J13" s="1">
        <v>6.19</v>
      </c>
      <c r="K13" s="1">
        <v>34.28</v>
      </c>
      <c r="L13">
        <f t="shared" si="0"/>
        <v>0.18057176196032673</v>
      </c>
      <c r="M13">
        <f t="shared" si="1"/>
        <v>0.56521881723088474</v>
      </c>
      <c r="N13">
        <f t="shared" si="2"/>
        <v>0.98345392939814813</v>
      </c>
      <c r="O13">
        <f t="shared" si="3"/>
        <v>0.98524289671918641</v>
      </c>
      <c r="P13">
        <f t="shared" si="4"/>
        <v>0.99818423728098371</v>
      </c>
      <c r="Q13">
        <f t="shared" si="5"/>
        <v>0.18327639058512618</v>
      </c>
      <c r="R13">
        <f t="shared" si="6"/>
        <v>0.56802681900033269</v>
      </c>
      <c r="S13">
        <f t="shared" si="7"/>
        <v>96.038659999999993</v>
      </c>
      <c r="T13">
        <f t="shared" si="8"/>
        <v>0.13232665314044029</v>
      </c>
      <c r="U13">
        <f t="shared" si="9"/>
        <v>132.3266531404403</v>
      </c>
    </row>
    <row r="14" spans="1:22">
      <c r="A14" s="1"/>
      <c r="B14" s="1"/>
      <c r="C14" s="1"/>
      <c r="D14" s="1"/>
      <c r="E14" s="1"/>
      <c r="F14" s="1"/>
      <c r="G14" s="1"/>
      <c r="H14" s="1">
        <v>12</v>
      </c>
      <c r="I14" s="1">
        <v>73</v>
      </c>
      <c r="J14" s="1">
        <v>6.42</v>
      </c>
      <c r="K14" s="1">
        <v>32.729999999999997</v>
      </c>
      <c r="L14">
        <f t="shared" si="0"/>
        <v>0.19615032080659947</v>
      </c>
      <c r="M14">
        <f t="shared" si="1"/>
        <v>0.58102703563955949</v>
      </c>
      <c r="N14">
        <f t="shared" si="2"/>
        <v>0.98322294614374184</v>
      </c>
      <c r="O14">
        <f t="shared" si="3"/>
        <v>0.98514827831323371</v>
      </c>
      <c r="P14">
        <f t="shared" si="4"/>
        <v>0.99804564225317594</v>
      </c>
      <c r="Q14">
        <f t="shared" si="5"/>
        <v>0.19910740862527532</v>
      </c>
      <c r="R14">
        <f t="shared" si="6"/>
        <v>0.58393226585229352</v>
      </c>
      <c r="S14">
        <f t="shared" si="7"/>
        <v>97.038659999999993</v>
      </c>
      <c r="T14">
        <f t="shared" si="8"/>
        <v>0.12966951776836749</v>
      </c>
      <c r="U14">
        <f t="shared" si="9"/>
        <v>129.66951776836748</v>
      </c>
    </row>
    <row r="15" spans="1:22">
      <c r="A15" s="1"/>
      <c r="B15" s="1"/>
      <c r="C15" s="1"/>
      <c r="D15" s="1"/>
      <c r="E15" s="1"/>
      <c r="F15" s="1"/>
      <c r="G15" s="1"/>
      <c r="H15" s="1">
        <v>13</v>
      </c>
      <c r="I15" s="1">
        <v>75</v>
      </c>
      <c r="J15" s="1">
        <v>6.62</v>
      </c>
      <c r="K15" s="1">
        <v>33.06</v>
      </c>
      <c r="L15">
        <f t="shared" si="0"/>
        <v>0.20024198427102238</v>
      </c>
      <c r="M15">
        <f t="shared" si="1"/>
        <v>0.58503930801789816</v>
      </c>
      <c r="N15">
        <f t="shared" si="2"/>
        <v>0.98354003200000006</v>
      </c>
      <c r="O15">
        <f t="shared" si="3"/>
        <v>0.98554224531640211</v>
      </c>
      <c r="P15">
        <f t="shared" si="4"/>
        <v>0.99796841451909624</v>
      </c>
      <c r="Q15">
        <f t="shared" si="5"/>
        <v>0.2031795036921385</v>
      </c>
      <c r="R15">
        <f t="shared" si="6"/>
        <v>0.58788624422191504</v>
      </c>
      <c r="S15">
        <f t="shared" si="7"/>
        <v>99.038659999999993</v>
      </c>
      <c r="T15">
        <f t="shared" si="8"/>
        <v>0.13231958483086631</v>
      </c>
      <c r="U15">
        <f t="shared" si="9"/>
        <v>132.31958483086632</v>
      </c>
    </row>
    <row r="16" spans="1:22">
      <c r="A16" s="1"/>
      <c r="B16" s="1"/>
      <c r="C16" s="1"/>
      <c r="D16" s="1"/>
      <c r="E16" s="1"/>
      <c r="F16" s="1"/>
      <c r="G16" s="1"/>
      <c r="H16" s="1">
        <v>14</v>
      </c>
      <c r="I16" s="1">
        <v>77</v>
      </c>
      <c r="J16" s="1">
        <v>6.78</v>
      </c>
      <c r="K16" s="1">
        <v>31.94</v>
      </c>
      <c r="L16">
        <f t="shared" si="0"/>
        <v>0.21227301189730746</v>
      </c>
      <c r="M16">
        <f t="shared" si="1"/>
        <v>0.59652904458993183</v>
      </c>
      <c r="N16">
        <f t="shared" si="2"/>
        <v>0.98395167481868784</v>
      </c>
      <c r="O16">
        <f t="shared" si="3"/>
        <v>0.98599319408411923</v>
      </c>
      <c r="P16">
        <f t="shared" si="4"/>
        <v>0.99792947935373155</v>
      </c>
      <c r="Q16">
        <f t="shared" si="5"/>
        <v>0.2152885163619066</v>
      </c>
      <c r="R16">
        <f t="shared" si="6"/>
        <v>0.59934049420606594</v>
      </c>
      <c r="S16">
        <f t="shared" si="7"/>
        <v>101.03865999999999</v>
      </c>
      <c r="T16">
        <f t="shared" si="8"/>
        <v>0.1283299810953854</v>
      </c>
      <c r="U16">
        <f t="shared" si="9"/>
        <v>128.32998109538539</v>
      </c>
    </row>
    <row r="17" spans="1:21">
      <c r="A17" s="1"/>
      <c r="B17" s="1"/>
      <c r="C17" s="1"/>
      <c r="D17" s="1"/>
      <c r="E17" s="1"/>
      <c r="F17" s="1"/>
      <c r="G17" s="1"/>
      <c r="H17" s="1">
        <v>15</v>
      </c>
      <c r="I17" s="1">
        <v>78</v>
      </c>
      <c r="J17" s="1">
        <v>6.88</v>
      </c>
      <c r="K17" s="1">
        <v>31.68</v>
      </c>
      <c r="L17">
        <f t="shared" si="0"/>
        <v>0.21717171717171718</v>
      </c>
      <c r="M17">
        <f t="shared" si="1"/>
        <v>0.60108296743366729</v>
      </c>
      <c r="N17">
        <f t="shared" si="2"/>
        <v>0.98409593688362917</v>
      </c>
      <c r="O17">
        <f t="shared" si="3"/>
        <v>0.98616614573856487</v>
      </c>
      <c r="P17">
        <f t="shared" si="4"/>
        <v>0.99790075043248894</v>
      </c>
      <c r="Q17">
        <f t="shared" si="5"/>
        <v>0.22021818342696378</v>
      </c>
      <c r="R17">
        <f t="shared" si="6"/>
        <v>0.60388057320635402</v>
      </c>
      <c r="S17">
        <f t="shared" si="7"/>
        <v>102.03865999999999</v>
      </c>
      <c r="T17">
        <f t="shared" si="8"/>
        <v>0.12789320298192741</v>
      </c>
      <c r="U17">
        <f t="shared" si="9"/>
        <v>127.89320298192742</v>
      </c>
    </row>
    <row r="18" spans="1:21">
      <c r="A18" s="1"/>
      <c r="B18" s="1"/>
      <c r="C18" s="1"/>
      <c r="D18" s="1"/>
      <c r="E18" s="1"/>
      <c r="F18" s="1"/>
      <c r="G18" s="1"/>
      <c r="H18" s="1">
        <v>16</v>
      </c>
      <c r="I18" s="1">
        <v>80</v>
      </c>
      <c r="J18" s="1">
        <v>7.22</v>
      </c>
      <c r="K18" s="1">
        <v>30.95</v>
      </c>
      <c r="L18">
        <f t="shared" si="0"/>
        <v>0.2332794830371567</v>
      </c>
      <c r="M18">
        <f t="shared" si="1"/>
        <v>0.61559088607383705</v>
      </c>
      <c r="N18">
        <f t="shared" si="2"/>
        <v>0.98401898124999998</v>
      </c>
      <c r="O18">
        <f t="shared" si="3"/>
        <v>0.98622104473702565</v>
      </c>
      <c r="P18">
        <f t="shared" si="4"/>
        <v>0.99776717045455787</v>
      </c>
      <c r="Q18">
        <f t="shared" si="5"/>
        <v>0.23653873975013415</v>
      </c>
      <c r="R18">
        <f t="shared" si="6"/>
        <v>0.61844453982368397</v>
      </c>
      <c r="S18">
        <f t="shared" si="7"/>
        <v>104.03865999999999</v>
      </c>
      <c r="T18">
        <f t="shared" si="8"/>
        <v>0.12858300220856653</v>
      </c>
      <c r="U18">
        <f t="shared" si="9"/>
        <v>128.58300220856654</v>
      </c>
    </row>
    <row r="19" spans="1:21">
      <c r="A19" s="1"/>
      <c r="B19" s="1"/>
      <c r="C19" s="1"/>
      <c r="D19" s="1"/>
      <c r="E19" s="1"/>
      <c r="F19" s="1"/>
      <c r="G19" s="1"/>
      <c r="H19" s="1"/>
      <c r="I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1"/>
      <c r="B79" s="1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"/>
      <c r="E82" s="1"/>
      <c r="F82" s="1"/>
      <c r="G82" s="1"/>
      <c r="H82" s="1"/>
      <c r="I82" s="1"/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/>
      <c r="B84" s="1"/>
      <c r="C84" s="1"/>
      <c r="D84" s="1"/>
      <c r="E84" s="1"/>
      <c r="F84" s="1"/>
      <c r="G84" s="1"/>
      <c r="H84" s="1"/>
      <c r="I84" s="1"/>
    </row>
    <row r="85" spans="1:9">
      <c r="A85" s="1"/>
      <c r="B85" s="1"/>
      <c r="C85" s="1"/>
      <c r="D85" s="1"/>
      <c r="E85" s="1"/>
      <c r="F85" s="1"/>
      <c r="G85" s="1"/>
      <c r="H85" s="1"/>
      <c r="I85" s="1"/>
    </row>
    <row r="86" spans="1:9">
      <c r="A86" s="1"/>
      <c r="B86" s="1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/>
      <c r="B89" s="1"/>
      <c r="C89" s="1"/>
      <c r="D89" s="1"/>
      <c r="E89" s="1"/>
      <c r="F89" s="1"/>
      <c r="G89" s="1"/>
      <c r="H89" s="1"/>
      <c r="I89" s="1"/>
    </row>
    <row r="90" spans="1:9">
      <c r="A90" s="1"/>
      <c r="B90" s="1"/>
      <c r="C90" s="1"/>
      <c r="D90" s="1"/>
      <c r="E90" s="1"/>
      <c r="F90" s="1"/>
      <c r="G90" s="1"/>
      <c r="H90" s="1"/>
      <c r="I90" s="1"/>
    </row>
    <row r="91" spans="1:9">
      <c r="A91" s="1"/>
      <c r="B91" s="1"/>
      <c r="C91" s="1"/>
      <c r="D91" s="1"/>
      <c r="E91" s="1"/>
      <c r="F91" s="1"/>
      <c r="G91" s="1"/>
      <c r="H91" s="1"/>
      <c r="I91" s="1"/>
    </row>
    <row r="92" spans="1:9">
      <c r="A92" s="1"/>
      <c r="B92" s="1"/>
      <c r="C92" s="1"/>
      <c r="D92" s="1"/>
      <c r="E92" s="1"/>
      <c r="F92" s="1"/>
      <c r="G92" s="1"/>
      <c r="H92" s="1"/>
      <c r="I92" s="1"/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1"/>
      <c r="B95" s="1"/>
      <c r="C95" s="1"/>
      <c r="D95" s="1"/>
      <c r="E95" s="1"/>
      <c r="F95" s="1"/>
      <c r="G95" s="1"/>
      <c r="H95" s="1"/>
      <c r="I95" s="1"/>
    </row>
    <row r="96" spans="1:9">
      <c r="A96" s="1"/>
      <c r="B96" s="1"/>
      <c r="C96" s="1"/>
      <c r="D96" s="1"/>
      <c r="E96" s="1"/>
      <c r="F96" s="1"/>
      <c r="G96" s="1"/>
      <c r="H96" s="1"/>
      <c r="I96" s="1"/>
    </row>
    <row r="97" spans="1:9">
      <c r="A97" s="1"/>
      <c r="B97" s="1"/>
      <c r="C97" s="1"/>
      <c r="D97" s="1"/>
      <c r="E97" s="1"/>
      <c r="F97" s="1"/>
      <c r="G97" s="1"/>
      <c r="H97" s="1"/>
      <c r="I97" s="1"/>
    </row>
    <row r="98" spans="1:9">
      <c r="A98" s="1"/>
      <c r="B98" s="1"/>
      <c r="C98" s="1"/>
      <c r="D98" s="1"/>
      <c r="E98" s="1"/>
      <c r="F98" s="1"/>
      <c r="G98" s="1"/>
      <c r="H98" s="1"/>
      <c r="I98" s="1"/>
    </row>
    <row r="99" spans="1:9">
      <c r="A99" s="1"/>
      <c r="B99" s="1"/>
      <c r="C99" s="1"/>
      <c r="D99" s="1"/>
      <c r="E99" s="1"/>
      <c r="F99" s="1"/>
      <c r="G99" s="1"/>
      <c r="H99" s="1"/>
      <c r="I99" s="1"/>
    </row>
    <row r="100" spans="1:9">
      <c r="A100" s="1"/>
      <c r="B100" s="1"/>
      <c r="C100" s="1"/>
      <c r="D100" s="1"/>
      <c r="E100" s="1"/>
      <c r="F100" s="1"/>
      <c r="G100" s="1"/>
      <c r="H100" s="1"/>
      <c r="I100" s="1"/>
    </row>
    <row r="101" spans="1:9">
      <c r="A101" s="1"/>
      <c r="B101" s="1"/>
      <c r="C101" s="1"/>
      <c r="D101" s="1"/>
      <c r="E101" s="1"/>
      <c r="F101" s="1"/>
      <c r="G101" s="1"/>
      <c r="H101" s="1"/>
      <c r="I101" s="1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  <row r="103" spans="1:9">
      <c r="A103" s="1"/>
      <c r="B103" s="1"/>
      <c r="C103" s="1"/>
      <c r="D103" s="1"/>
      <c r="E103" s="1"/>
      <c r="F103" s="1"/>
      <c r="G103" s="1"/>
      <c r="H103" s="1"/>
      <c r="I103" s="1"/>
    </row>
    <row r="104" spans="1:9">
      <c r="A104" s="1"/>
      <c r="B104" s="1"/>
      <c r="C104" s="1"/>
      <c r="D104" s="1"/>
      <c r="E104" s="1"/>
      <c r="F104" s="1"/>
      <c r="G104" s="1"/>
      <c r="H104" s="1"/>
      <c r="I104" s="1"/>
    </row>
    <row r="105" spans="1:9">
      <c r="A105" s="1"/>
      <c r="B105" s="1"/>
      <c r="C105" s="1"/>
      <c r="D105" s="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1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1"/>
      <c r="I112" s="1"/>
    </row>
    <row r="113" spans="1:9">
      <c r="A113" s="1"/>
      <c r="B113" s="1"/>
      <c r="C113" s="1"/>
      <c r="D113" s="1"/>
      <c r="E113" s="1"/>
      <c r="F113" s="1"/>
      <c r="G113" s="1"/>
      <c r="H113" s="1"/>
      <c r="I113" s="1"/>
    </row>
    <row r="114" spans="1:9">
      <c r="A114" s="1"/>
      <c r="B114" s="1"/>
      <c r="C114" s="1"/>
      <c r="D114" s="1"/>
      <c r="E114" s="1"/>
      <c r="F114" s="1"/>
      <c r="G114" s="1"/>
      <c r="H114" s="1"/>
      <c r="I114" s="1"/>
    </row>
    <row r="115" spans="1:9">
      <c r="A115" s="1"/>
      <c r="B115" s="1"/>
      <c r="C115" s="1"/>
      <c r="D115" s="1"/>
      <c r="E115" s="1"/>
      <c r="F115" s="1"/>
      <c r="G115" s="1"/>
      <c r="H115" s="1"/>
      <c r="I115" s="1"/>
    </row>
    <row r="116" spans="1:9">
      <c r="A116" s="1"/>
      <c r="B116" s="1"/>
      <c r="C116" s="1"/>
      <c r="D116" s="1"/>
      <c r="E116" s="1"/>
      <c r="F116" s="1"/>
      <c r="G116" s="1"/>
      <c r="H116" s="1"/>
      <c r="I116" s="1"/>
    </row>
    <row r="117" spans="1:9">
      <c r="A117" s="1"/>
      <c r="B117" s="1"/>
      <c r="C117" s="1"/>
      <c r="D117" s="1"/>
      <c r="E117" s="1"/>
      <c r="F117" s="1"/>
      <c r="G117" s="1"/>
      <c r="H117" s="1"/>
      <c r="I117" s="1"/>
    </row>
    <row r="118" spans="1:9">
      <c r="A118" s="1"/>
      <c r="B118" s="1"/>
      <c r="C118" s="1"/>
      <c r="D118" s="1"/>
      <c r="E118" s="1"/>
      <c r="F118" s="1"/>
      <c r="G118" s="1"/>
      <c r="H118" s="1"/>
      <c r="I118" s="1"/>
    </row>
    <row r="119" spans="1:9">
      <c r="A119" s="1"/>
      <c r="B119" s="1"/>
      <c r="C119" s="1"/>
      <c r="D119" s="1"/>
      <c r="E119" s="1"/>
      <c r="F119" s="1"/>
      <c r="G119" s="1"/>
      <c r="H119" s="1"/>
      <c r="I119" s="1"/>
    </row>
    <row r="120" spans="1:9">
      <c r="A120" s="1"/>
      <c r="B120" s="1"/>
      <c r="C120" s="1"/>
      <c r="D120" s="1"/>
      <c r="E120" s="1"/>
      <c r="F120" s="1"/>
      <c r="G120" s="1"/>
      <c r="H120" s="1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/>
      <c r="B122" s="1"/>
      <c r="C122" s="1"/>
      <c r="D122" s="1"/>
      <c r="E122" s="1"/>
      <c r="F122" s="1"/>
      <c r="G122" s="1"/>
      <c r="H122" s="1"/>
      <c r="I122" s="1"/>
    </row>
    <row r="123" spans="1:9">
      <c r="A123" s="1"/>
      <c r="B123" s="1"/>
      <c r="C123" s="1"/>
      <c r="D123" s="1"/>
      <c r="E123" s="1"/>
      <c r="F123" s="1"/>
      <c r="G123" s="1"/>
      <c r="H123" s="1"/>
      <c r="I123" s="1"/>
    </row>
    <row r="124" spans="1:9">
      <c r="A124" s="1"/>
      <c r="B124" s="1"/>
      <c r="C124" s="1"/>
      <c r="D124" s="1"/>
      <c r="E124" s="1"/>
      <c r="F124" s="1"/>
      <c r="G124" s="1"/>
      <c r="H124" s="1"/>
      <c r="I124" s="1"/>
    </row>
    <row r="125" spans="1:9">
      <c r="A125" s="1"/>
      <c r="B125" s="1"/>
      <c r="C125" s="1"/>
      <c r="D125" s="1"/>
      <c r="E125" s="1"/>
      <c r="F125" s="1"/>
      <c r="G125" s="1"/>
      <c r="H125" s="1"/>
      <c r="I125" s="1"/>
    </row>
    <row r="126" spans="1:9">
      <c r="A126" s="1"/>
      <c r="B126" s="1"/>
      <c r="C126" s="1"/>
      <c r="D126" s="1"/>
      <c r="E126" s="1"/>
      <c r="F126" s="1"/>
      <c r="G126" s="1"/>
      <c r="H126" s="1"/>
      <c r="I126" s="1"/>
    </row>
    <row r="127" spans="1:9">
      <c r="A127" s="1"/>
      <c r="B127" s="1"/>
      <c r="C127" s="1"/>
      <c r="D127" s="1"/>
      <c r="E127" s="1"/>
      <c r="F127" s="1"/>
      <c r="G127" s="1"/>
      <c r="H127" s="1"/>
      <c r="I127" s="1"/>
    </row>
    <row r="128" spans="1:9">
      <c r="A128" s="1"/>
      <c r="B128" s="1"/>
      <c r="C128" s="1"/>
      <c r="D128" s="1"/>
      <c r="E128" s="1"/>
      <c r="F128" s="1"/>
      <c r="G128" s="1"/>
      <c r="H128" s="1"/>
      <c r="I12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BC25-B0F8-4774-B288-841432E2FD62}">
  <dimension ref="A1:V25"/>
  <sheetViews>
    <sheetView topLeftCell="G1" zoomScale="94" zoomScaleNormal="94" workbookViewId="0">
      <selection activeCell="J9" sqref="J9:K9"/>
    </sheetView>
  </sheetViews>
  <sheetFormatPr defaultRowHeight="14"/>
  <cols>
    <col min="2" max="2" width="11.5" customWidth="1"/>
    <col min="3" max="3" width="11.1640625" customWidth="1"/>
    <col min="6" max="6" width="9.08203125" customWidth="1"/>
    <col min="7" max="7" width="8.1640625" customWidth="1"/>
    <col min="8" max="8" width="17.33203125" customWidth="1"/>
    <col min="9" max="9" width="16.08203125" customWidth="1"/>
    <col min="10" max="10" width="19.5" customWidth="1"/>
    <col min="11" max="11" width="12.58203125" customWidth="1"/>
    <col min="12" max="12" width="16.9140625" customWidth="1"/>
    <col min="13" max="13" width="14.58203125" customWidth="1"/>
    <col min="17" max="17" width="12.08203125" customWidth="1"/>
    <col min="18" max="18" width="10.9140625" customWidth="1"/>
    <col min="20" max="20" width="10.1640625" customWidth="1"/>
    <col min="22" max="22" width="12.0820312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10</v>
      </c>
      <c r="B2" s="2">
        <v>4</v>
      </c>
      <c r="C2" s="2">
        <v>25</v>
      </c>
      <c r="D2" s="2">
        <v>48</v>
      </c>
      <c r="E2" s="2">
        <v>8.5</v>
      </c>
      <c r="F2" s="2">
        <v>10</v>
      </c>
      <c r="G2" s="2">
        <v>14.1044</v>
      </c>
      <c r="H2" s="2" t="s">
        <v>9</v>
      </c>
      <c r="I2" s="2">
        <v>48</v>
      </c>
      <c r="J2" s="2">
        <v>3.37</v>
      </c>
      <c r="K2" s="2">
        <v>41.23</v>
      </c>
      <c r="L2" s="3">
        <f>J2:J25/K2:K25</f>
        <v>8.1736599563424703E-2</v>
      </c>
      <c r="M2" s="3">
        <f>(L2:L25)^(1/3)</f>
        <v>0.43398247142536722</v>
      </c>
      <c r="N2" s="3">
        <f>1-((3/10)*(J2:J25/I2:I25)^2)-((3/2)*((J2:J25*8.5)/(I2:I25)^2))</f>
        <v>0.97987214843749992</v>
      </c>
      <c r="O2" s="3">
        <f>1-(10/I2:I25)^3-((9/8)*(1-(10/I2:I25)^2)*((J2:J25*8.5)/I2:I25^2))-((9/35)*(J2:J25/I2:I25)^2)</f>
        <v>0.97631049374696433</v>
      </c>
      <c r="P2" s="3">
        <f>N2:N25/O2:O25</f>
        <v>1.0036480758051329</v>
      </c>
      <c r="Q2" s="3">
        <f>L2:L25/O2:O25</f>
        <v>8.3719882237185933E-2</v>
      </c>
      <c r="R2" s="3">
        <f>Q2:Q25^(1/3)</f>
        <v>0.43746455394947648</v>
      </c>
      <c r="S2" s="3">
        <f>I2:I25+14.1044</f>
        <v>62.104399999999998</v>
      </c>
      <c r="T2" s="3">
        <f>(P2:P25*3*K2:K25*J2:J25)/(2*25*S2:S25)</f>
        <v>0.13472666889066004</v>
      </c>
      <c r="U2" s="3">
        <f>T2:T25*1000</f>
        <v>134.72666889066005</v>
      </c>
    </row>
    <row r="3" spans="1:22">
      <c r="I3" s="1">
        <v>50</v>
      </c>
      <c r="J3" s="1">
        <v>3.09</v>
      </c>
      <c r="K3" s="1">
        <v>38.5</v>
      </c>
      <c r="L3">
        <f t="shared" ref="L3:L25" si="0">J3:J26/K3:K26</f>
        <v>8.0259740259740253E-2</v>
      </c>
      <c r="M3">
        <f t="shared" ref="M3:M25" si="1">(L3:L26)^(1/3)</f>
        <v>0.43135276208589485</v>
      </c>
      <c r="N3">
        <f t="shared" ref="N3:N25" si="2">1-((3/10)*(J3:J26/I3:I26)^2)-((3/2)*((J3:J26*8.5)/(I3:I26)^2))</f>
        <v>0.98309522800000004</v>
      </c>
      <c r="O3">
        <f t="shared" ref="O3:O25" si="3">1-(10/I3:I26)^3-((9/8)*(1-(10/I3:I26)^2)*((J3:J26*8.5)/I3:I26^2))-((9/35)*(J3:J26/I3:I26)^2)</f>
        <v>0.97967142971428567</v>
      </c>
      <c r="P3">
        <f t="shared" ref="P3:P25" si="4">N3:N26/O3:O26</f>
        <v>1.0034948434565587</v>
      </c>
      <c r="Q3">
        <f t="shared" ref="Q3:Q25" si="5">L3:L26/O3:O26</f>
        <v>8.1925161666853388E-2</v>
      </c>
      <c r="R3">
        <f t="shared" ref="R3:R25" si="6">Q3:Q26^(1/3)</f>
        <v>0.43431594015595232</v>
      </c>
      <c r="S3">
        <f t="shared" ref="S3:S25" si="7">I3:I26+14.1044</f>
        <v>64.104399999999998</v>
      </c>
      <c r="T3">
        <f t="shared" ref="T3:T25" si="8">(P3:P26*3*K3:K26*J3:J26)/(2*25*S3:S26)</f>
        <v>0.11173719499922892</v>
      </c>
      <c r="U3">
        <f t="shared" ref="U3:U25" si="9">T3:T26*1000</f>
        <v>111.73719499922892</v>
      </c>
    </row>
    <row r="4" spans="1:22">
      <c r="I4" s="1">
        <v>51</v>
      </c>
      <c r="J4" s="1">
        <v>3.33</v>
      </c>
      <c r="K4" s="1">
        <v>39.58</v>
      </c>
      <c r="L4">
        <f t="shared" si="0"/>
        <v>8.4133400707428002E-2</v>
      </c>
      <c r="M4">
        <f t="shared" si="1"/>
        <v>0.43818362904868108</v>
      </c>
      <c r="N4">
        <f t="shared" si="2"/>
        <v>0.98239747404844291</v>
      </c>
      <c r="O4">
        <f t="shared" si="3"/>
        <v>0.97959318152251296</v>
      </c>
      <c r="P4">
        <f t="shared" si="4"/>
        <v>1.0028627113569446</v>
      </c>
      <c r="Q4">
        <f t="shared" si="5"/>
        <v>8.5886061984083398E-2</v>
      </c>
      <c r="R4">
        <f t="shared" si="6"/>
        <v>0.4412054787123364</v>
      </c>
      <c r="S4">
        <f t="shared" si="7"/>
        <v>65.104399999999998</v>
      </c>
      <c r="T4">
        <f t="shared" si="8"/>
        <v>0.12181546196383768</v>
      </c>
      <c r="U4">
        <f t="shared" si="9"/>
        <v>121.81546196383768</v>
      </c>
    </row>
    <row r="5" spans="1:22">
      <c r="I5" s="1">
        <v>53</v>
      </c>
      <c r="J5" s="1">
        <v>3.58</v>
      </c>
      <c r="K5" s="1">
        <v>39.35</v>
      </c>
      <c r="L5">
        <f t="shared" si="0"/>
        <v>9.0978398983481576E-2</v>
      </c>
      <c r="M5">
        <f t="shared" si="1"/>
        <v>0.44975855192819086</v>
      </c>
      <c r="N5">
        <f t="shared" si="2"/>
        <v>0.98238165895336427</v>
      </c>
      <c r="O5">
        <f t="shared" si="3"/>
        <v>0.98035649568620353</v>
      </c>
      <c r="P5">
        <f t="shared" si="4"/>
        <v>1.002065741672618</v>
      </c>
      <c r="Q5">
        <f t="shared" si="5"/>
        <v>9.2801342556312602E-2</v>
      </c>
      <c r="R5">
        <f t="shared" si="6"/>
        <v>0.45274266167058286</v>
      </c>
      <c r="S5">
        <f t="shared" si="7"/>
        <v>67.104399999999998</v>
      </c>
      <c r="T5">
        <f t="shared" si="8"/>
        <v>0.12621885351182341</v>
      </c>
      <c r="U5">
        <f t="shared" si="9"/>
        <v>126.21885351182341</v>
      </c>
    </row>
    <row r="6" spans="1:22">
      <c r="I6" s="1">
        <v>54</v>
      </c>
      <c r="J6" s="1">
        <v>3.7</v>
      </c>
      <c r="K6" s="1">
        <v>38.659999999999997</v>
      </c>
      <c r="L6">
        <f t="shared" si="0"/>
        <v>9.5706156233833439E-2</v>
      </c>
      <c r="M6">
        <f t="shared" si="1"/>
        <v>0.45741804296393784</v>
      </c>
      <c r="N6">
        <f t="shared" si="2"/>
        <v>0.98241358024691361</v>
      </c>
      <c r="O6">
        <f t="shared" si="3"/>
        <v>0.98072472377662134</v>
      </c>
      <c r="P6">
        <f t="shared" si="4"/>
        <v>1.0017220494490939</v>
      </c>
      <c r="Q6">
        <f t="shared" si="5"/>
        <v>9.758717600723231E-2</v>
      </c>
      <c r="R6">
        <f t="shared" si="6"/>
        <v>0.46039533752806233</v>
      </c>
      <c r="S6">
        <f t="shared" si="7"/>
        <v>68.104399999999998</v>
      </c>
      <c r="T6">
        <f t="shared" si="8"/>
        <v>0.12623706432826423</v>
      </c>
      <c r="U6">
        <f t="shared" si="9"/>
        <v>126.23706432826422</v>
      </c>
    </row>
    <row r="7" spans="1:22">
      <c r="I7" s="1">
        <v>56</v>
      </c>
      <c r="J7" s="1">
        <v>3.94</v>
      </c>
      <c r="K7" s="1">
        <v>36.85</v>
      </c>
      <c r="L7">
        <f t="shared" si="0"/>
        <v>0.10691994572591587</v>
      </c>
      <c r="M7">
        <f t="shared" si="1"/>
        <v>0.47462751329870184</v>
      </c>
      <c r="N7">
        <f t="shared" si="2"/>
        <v>0.98249614795918372</v>
      </c>
      <c r="O7">
        <f t="shared" si="3"/>
        <v>0.98140186075219304</v>
      </c>
      <c r="P7">
        <f t="shared" si="4"/>
        <v>1.0011150245895724</v>
      </c>
      <c r="Q7">
        <f t="shared" si="5"/>
        <v>0.10894614123104203</v>
      </c>
      <c r="R7">
        <f t="shared" si="6"/>
        <v>0.47760692758980244</v>
      </c>
      <c r="S7">
        <f t="shared" si="7"/>
        <v>70.104399999999998</v>
      </c>
      <c r="T7">
        <f t="shared" si="8"/>
        <v>0.12440094142889926</v>
      </c>
      <c r="U7">
        <f t="shared" si="9"/>
        <v>124.40094142889926</v>
      </c>
    </row>
    <row r="8" spans="1:22">
      <c r="I8" s="1">
        <v>58</v>
      </c>
      <c r="J8" s="1">
        <v>4.1900000000000004</v>
      </c>
      <c r="K8" s="1">
        <v>35.340000000000003</v>
      </c>
      <c r="L8">
        <f t="shared" si="0"/>
        <v>0.11856253537068477</v>
      </c>
      <c r="M8">
        <f t="shared" si="1"/>
        <v>0.49126500209337032</v>
      </c>
      <c r="N8">
        <f t="shared" si="2"/>
        <v>0.98255370689655175</v>
      </c>
      <c r="O8">
        <f t="shared" si="3"/>
        <v>0.98197632835262283</v>
      </c>
      <c r="P8">
        <f t="shared" si="4"/>
        <v>1.0005879760308454</v>
      </c>
      <c r="Q8">
        <f t="shared" si="5"/>
        <v>0.12073868987207353</v>
      </c>
      <c r="R8">
        <f t="shared" si="6"/>
        <v>0.49425243736729241</v>
      </c>
      <c r="S8">
        <f t="shared" si="7"/>
        <v>72.104399999999998</v>
      </c>
      <c r="T8">
        <f t="shared" si="8"/>
        <v>0.12328928413431946</v>
      </c>
      <c r="U8">
        <f t="shared" si="9"/>
        <v>123.28928413431946</v>
      </c>
    </row>
    <row r="9" spans="1:22">
      <c r="I9" s="1">
        <v>60</v>
      </c>
      <c r="J9" s="1">
        <v>4.43</v>
      </c>
      <c r="K9" s="1">
        <v>34.409999999999997</v>
      </c>
      <c r="L9">
        <f t="shared" si="0"/>
        <v>0.12874164487067713</v>
      </c>
      <c r="M9">
        <f t="shared" si="1"/>
        <v>0.50493989399419059</v>
      </c>
      <c r="N9">
        <f t="shared" si="2"/>
        <v>0.98267500833333332</v>
      </c>
      <c r="O9">
        <f t="shared" si="3"/>
        <v>0.98252827061838621</v>
      </c>
      <c r="P9">
        <f t="shared" si="4"/>
        <v>1.0001493470664766</v>
      </c>
      <c r="Q9">
        <f t="shared" si="5"/>
        <v>0.13103098274174785</v>
      </c>
      <c r="R9">
        <f t="shared" si="6"/>
        <v>0.5079153437652898</v>
      </c>
      <c r="S9">
        <f t="shared" si="7"/>
        <v>74.104399999999998</v>
      </c>
      <c r="T9">
        <f t="shared" si="8"/>
        <v>0.12344130651963678</v>
      </c>
      <c r="U9">
        <f t="shared" si="9"/>
        <v>123.44130651963678</v>
      </c>
    </row>
    <row r="10" spans="1:22">
      <c r="I10" s="1">
        <v>62</v>
      </c>
      <c r="J10" s="1">
        <v>4.28</v>
      </c>
      <c r="K10" s="1">
        <v>35.200000000000003</v>
      </c>
      <c r="L10">
        <f t="shared" si="0"/>
        <v>0.12159090909090908</v>
      </c>
      <c r="M10">
        <f t="shared" si="1"/>
        <v>0.49541258542866123</v>
      </c>
      <c r="N10">
        <f t="shared" si="2"/>
        <v>0.98437421436004158</v>
      </c>
      <c r="O10">
        <f t="shared" si="3"/>
        <v>0.98420856744691554</v>
      </c>
      <c r="P10">
        <f t="shared" si="4"/>
        <v>1.000168304685211</v>
      </c>
      <c r="Q10">
        <f t="shared" si="5"/>
        <v>0.12354181127108227</v>
      </c>
      <c r="R10">
        <f t="shared" si="6"/>
        <v>0.49804813875161374</v>
      </c>
      <c r="S10">
        <f t="shared" si="7"/>
        <v>76.104399999999998</v>
      </c>
      <c r="T10">
        <f t="shared" si="8"/>
        <v>0.118795777466734</v>
      </c>
      <c r="U10">
        <f t="shared" si="9"/>
        <v>118.79577746673401</v>
      </c>
    </row>
    <row r="11" spans="1:22">
      <c r="I11" s="1">
        <v>63</v>
      </c>
      <c r="J11" s="1">
        <v>4.91</v>
      </c>
      <c r="K11" s="1">
        <v>34.61</v>
      </c>
      <c r="L11">
        <f t="shared" si="0"/>
        <v>0.14186651256862179</v>
      </c>
      <c r="M11">
        <f t="shared" si="1"/>
        <v>0.52154681503246259</v>
      </c>
      <c r="N11">
        <f t="shared" si="2"/>
        <v>0.98240490551776272</v>
      </c>
      <c r="O11">
        <f t="shared" si="3"/>
        <v>0.98290724320113532</v>
      </c>
      <c r="P11">
        <f t="shared" si="4"/>
        <v>0.99948892666439548</v>
      </c>
      <c r="Q11">
        <f t="shared" si="5"/>
        <v>0.14433357119903859</v>
      </c>
      <c r="R11">
        <f t="shared" si="6"/>
        <v>0.52455269073772504</v>
      </c>
      <c r="S11">
        <f t="shared" si="7"/>
        <v>77.104399999999998</v>
      </c>
      <c r="T11">
        <f t="shared" si="8"/>
        <v>0.13217008422471874</v>
      </c>
      <c r="U11">
        <f t="shared" si="9"/>
        <v>132.17008422471875</v>
      </c>
    </row>
    <row r="12" spans="1:22">
      <c r="I12" s="1">
        <v>65</v>
      </c>
      <c r="J12" s="1">
        <v>5.09</v>
      </c>
      <c r="K12" s="1">
        <v>33.26</v>
      </c>
      <c r="L12">
        <f t="shared" si="0"/>
        <v>0.15303668069753459</v>
      </c>
      <c r="M12">
        <f t="shared" si="1"/>
        <v>0.53489086276155817</v>
      </c>
      <c r="N12">
        <f t="shared" si="2"/>
        <v>0.98280001656804739</v>
      </c>
      <c r="O12">
        <f t="shared" si="3"/>
        <v>0.98353424932200251</v>
      </c>
      <c r="P12">
        <f t="shared" si="4"/>
        <v>0.9992534751540566</v>
      </c>
      <c r="Q12">
        <f t="shared" si="5"/>
        <v>0.15559873060143065</v>
      </c>
      <c r="R12">
        <f t="shared" si="6"/>
        <v>0.53785930111200109</v>
      </c>
      <c r="S12">
        <f t="shared" si="7"/>
        <v>79.104399999999998</v>
      </c>
      <c r="T12">
        <f t="shared" si="8"/>
        <v>0.12831171333375571</v>
      </c>
      <c r="U12">
        <f t="shared" si="9"/>
        <v>128.3117133337557</v>
      </c>
    </row>
    <row r="13" spans="1:22">
      <c r="I13" s="1">
        <v>67</v>
      </c>
      <c r="J13" s="1">
        <v>5.34</v>
      </c>
      <c r="K13" s="1">
        <v>32.31</v>
      </c>
      <c r="L13">
        <f t="shared" si="0"/>
        <v>0.16527390900649952</v>
      </c>
      <c r="M13">
        <f t="shared" si="1"/>
        <v>0.54878399006315659</v>
      </c>
      <c r="N13">
        <f t="shared" si="2"/>
        <v>0.98292722655379816</v>
      </c>
      <c r="O13">
        <f t="shared" si="3"/>
        <v>0.98391976490063682</v>
      </c>
      <c r="P13">
        <f t="shared" si="4"/>
        <v>0.99899124056427624</v>
      </c>
      <c r="Q13">
        <f t="shared" si="5"/>
        <v>0.1679749862766402</v>
      </c>
      <c r="R13">
        <f t="shared" si="6"/>
        <v>0.55175744861295273</v>
      </c>
      <c r="S13">
        <f t="shared" si="7"/>
        <v>81.104399999999998</v>
      </c>
      <c r="T13">
        <f t="shared" si="8"/>
        <v>0.12751072934680757</v>
      </c>
      <c r="U13">
        <f t="shared" si="9"/>
        <v>127.51072934680757</v>
      </c>
    </row>
    <row r="14" spans="1:22">
      <c r="I14" s="1">
        <v>68</v>
      </c>
      <c r="J14" s="1">
        <v>5.62</v>
      </c>
      <c r="K14" s="1">
        <v>31.38</v>
      </c>
      <c r="L14">
        <f t="shared" si="0"/>
        <v>0.17909496494582539</v>
      </c>
      <c r="M14">
        <f t="shared" si="1"/>
        <v>0.56367372623298684</v>
      </c>
      <c r="N14">
        <f t="shared" si="2"/>
        <v>0.98245451557093422</v>
      </c>
      <c r="O14">
        <f t="shared" si="3"/>
        <v>0.98369234192357724</v>
      </c>
      <c r="P14">
        <f t="shared" si="4"/>
        <v>0.9987416529539892</v>
      </c>
      <c r="Q14">
        <f t="shared" si="5"/>
        <v>0.18206400244573542</v>
      </c>
      <c r="R14">
        <f t="shared" si="6"/>
        <v>0.56677153253549739</v>
      </c>
      <c r="S14">
        <f t="shared" si="7"/>
        <v>82.104399999999998</v>
      </c>
      <c r="T14">
        <f t="shared" si="8"/>
        <v>0.12871442952023948</v>
      </c>
      <c r="U14">
        <f t="shared" si="9"/>
        <v>128.71442952023949</v>
      </c>
    </row>
    <row r="15" spans="1:22">
      <c r="I15" s="1">
        <v>69</v>
      </c>
      <c r="J15" s="1">
        <v>5.76</v>
      </c>
      <c r="K15" s="1">
        <v>31.58</v>
      </c>
      <c r="L15">
        <f t="shared" si="0"/>
        <v>0.1823939202026599</v>
      </c>
      <c r="M15">
        <f t="shared" si="1"/>
        <v>0.56711367441404015</v>
      </c>
      <c r="N15">
        <f t="shared" si="2"/>
        <v>0.98248408317580338</v>
      </c>
      <c r="O15">
        <f t="shared" si="3"/>
        <v>0.98383800952124201</v>
      </c>
      <c r="P15">
        <f t="shared" si="4"/>
        <v>0.99862383204111271</v>
      </c>
      <c r="Q15">
        <f t="shared" si="5"/>
        <v>0.18539019476531196</v>
      </c>
      <c r="R15">
        <f t="shared" si="6"/>
        <v>0.57020224152584853</v>
      </c>
      <c r="S15">
        <f t="shared" si="7"/>
        <v>83.104399999999998</v>
      </c>
      <c r="T15">
        <f t="shared" si="8"/>
        <v>0.13114863276602248</v>
      </c>
      <c r="U15">
        <f t="shared" si="9"/>
        <v>131.14863276602247</v>
      </c>
    </row>
    <row r="16" spans="1:22">
      <c r="I16" s="1">
        <v>71</v>
      </c>
      <c r="J16" s="1">
        <v>6.06</v>
      </c>
      <c r="K16" s="1">
        <v>30.56</v>
      </c>
      <c r="L16">
        <f t="shared" si="0"/>
        <v>0.19829842931937172</v>
      </c>
      <c r="M16">
        <f t="shared" si="1"/>
        <v>0.58314034764854161</v>
      </c>
      <c r="N16">
        <f t="shared" si="2"/>
        <v>0.98248718904979171</v>
      </c>
      <c r="O16">
        <f t="shared" si="3"/>
        <v>0.98406528074386612</v>
      </c>
      <c r="P16">
        <f t="shared" si="4"/>
        <v>0.9983963546677701</v>
      </c>
      <c r="Q16">
        <f t="shared" si="5"/>
        <v>0.20150942544124276</v>
      </c>
      <c r="R16">
        <f t="shared" si="6"/>
        <v>0.58627105757122766</v>
      </c>
      <c r="S16">
        <f t="shared" si="7"/>
        <v>85.104399999999998</v>
      </c>
      <c r="T16">
        <f t="shared" si="8"/>
        <v>0.13035515095421701</v>
      </c>
      <c r="U16">
        <f t="shared" si="9"/>
        <v>130.35515095421701</v>
      </c>
    </row>
    <row r="17" spans="9:21">
      <c r="I17" s="1">
        <v>72</v>
      </c>
      <c r="J17" s="1">
        <v>6.28</v>
      </c>
      <c r="K17" s="1">
        <v>30.3</v>
      </c>
      <c r="L17">
        <f t="shared" si="0"/>
        <v>0.20726072607260726</v>
      </c>
      <c r="M17">
        <f t="shared" si="1"/>
        <v>0.59179642652766051</v>
      </c>
      <c r="N17">
        <f t="shared" si="2"/>
        <v>0.98227208333333338</v>
      </c>
      <c r="O17">
        <f t="shared" si="3"/>
        <v>0.98400380563133816</v>
      </c>
      <c r="P17">
        <f t="shared" si="4"/>
        <v>0.99824012642218019</v>
      </c>
      <c r="Q17">
        <f t="shared" si="5"/>
        <v>0.21063000456550929</v>
      </c>
      <c r="R17">
        <f t="shared" si="6"/>
        <v>0.59498599836694244</v>
      </c>
      <c r="S17">
        <f t="shared" si="7"/>
        <v>86.104399999999998</v>
      </c>
      <c r="T17">
        <f t="shared" si="8"/>
        <v>0.13236196353458229</v>
      </c>
      <c r="U17">
        <f t="shared" si="9"/>
        <v>132.36196353458229</v>
      </c>
    </row>
    <row r="18" spans="9:21">
      <c r="I18" s="1">
        <v>74</v>
      </c>
      <c r="J18" s="1">
        <v>6.41</v>
      </c>
      <c r="K18" s="1">
        <v>29.7</v>
      </c>
      <c r="L18">
        <f t="shared" si="0"/>
        <v>0.21582491582491584</v>
      </c>
      <c r="M18">
        <f t="shared" si="1"/>
        <v>0.59983784120122507</v>
      </c>
      <c r="N18">
        <f t="shared" si="2"/>
        <v>0.98282433710737771</v>
      </c>
      <c r="O18">
        <f t="shared" si="3"/>
        <v>0.98461371446400359</v>
      </c>
      <c r="P18">
        <f t="shared" si="4"/>
        <v>0.99818266053951932</v>
      </c>
      <c r="Q18">
        <f t="shared" si="5"/>
        <v>0.21919755194797885</v>
      </c>
      <c r="R18">
        <f t="shared" si="6"/>
        <v>0.60294620568907797</v>
      </c>
      <c r="S18">
        <f t="shared" si="7"/>
        <v>88.104399999999998</v>
      </c>
      <c r="T18">
        <f t="shared" si="8"/>
        <v>0.1294130738298192</v>
      </c>
      <c r="U18">
        <f t="shared" si="9"/>
        <v>129.41307382981921</v>
      </c>
    </row>
    <row r="19" spans="9:21">
      <c r="I19" s="1">
        <v>76</v>
      </c>
      <c r="J19" s="1">
        <v>6.73</v>
      </c>
      <c r="K19" s="1">
        <v>29.99</v>
      </c>
      <c r="L19">
        <f t="shared" si="0"/>
        <v>0.22440813604534848</v>
      </c>
      <c r="M19">
        <f t="shared" si="1"/>
        <v>0.60768642219273339</v>
      </c>
      <c r="N19">
        <f t="shared" si="2"/>
        <v>0.98279166031855958</v>
      </c>
      <c r="O19">
        <f t="shared" si="3"/>
        <v>0.98475656591627247</v>
      </c>
      <c r="P19">
        <f t="shared" si="4"/>
        <v>0.9980046788559519</v>
      </c>
      <c r="Q19">
        <f t="shared" si="5"/>
        <v>0.22788183781902141</v>
      </c>
      <c r="R19">
        <f t="shared" si="6"/>
        <v>0.61080592018018809</v>
      </c>
      <c r="S19">
        <f t="shared" si="7"/>
        <v>90.104399999999998</v>
      </c>
      <c r="T19">
        <f t="shared" si="8"/>
        <v>0.1341310606004566</v>
      </c>
      <c r="U19">
        <f t="shared" si="9"/>
        <v>134.13106060045661</v>
      </c>
    </row>
    <row r="20" spans="9:21">
      <c r="I20" s="1">
        <v>78</v>
      </c>
      <c r="J20" s="1">
        <v>6.92</v>
      </c>
      <c r="K20" s="1">
        <v>29.04</v>
      </c>
      <c r="L20">
        <f t="shared" si="0"/>
        <v>0.23829201101928374</v>
      </c>
      <c r="M20">
        <f t="shared" si="1"/>
        <v>0.619968790502613</v>
      </c>
      <c r="N20">
        <f t="shared" si="2"/>
        <v>0.98313676528599603</v>
      </c>
      <c r="O20">
        <f t="shared" si="3"/>
        <v>0.98517110279326026</v>
      </c>
      <c r="P20">
        <f t="shared" si="4"/>
        <v>0.99793504143443079</v>
      </c>
      <c r="Q20">
        <f t="shared" si="5"/>
        <v>0.24187880698454642</v>
      </c>
      <c r="R20">
        <f t="shared" si="6"/>
        <v>0.62306392406220368</v>
      </c>
      <c r="S20">
        <f t="shared" si="7"/>
        <v>92.104399999999998</v>
      </c>
      <c r="T20">
        <f t="shared" si="8"/>
        <v>0.13063990376216375</v>
      </c>
      <c r="U20">
        <f t="shared" si="9"/>
        <v>130.63990376216375</v>
      </c>
    </row>
    <row r="21" spans="9:21">
      <c r="I21" s="1">
        <v>79</v>
      </c>
      <c r="J21" s="1">
        <v>7.09</v>
      </c>
      <c r="K21" s="1">
        <v>28.35</v>
      </c>
      <c r="L21">
        <f t="shared" si="0"/>
        <v>0.25008818342151673</v>
      </c>
      <c r="M21">
        <f t="shared" si="1"/>
        <v>0.63003458567289528</v>
      </c>
      <c r="N21">
        <f t="shared" si="2"/>
        <v>0.9830991940394167</v>
      </c>
      <c r="O21">
        <f t="shared" si="3"/>
        <v>0.98521132809103973</v>
      </c>
      <c r="P21">
        <f t="shared" si="4"/>
        <v>0.99785616142303646</v>
      </c>
      <c r="Q21">
        <f t="shared" si="5"/>
        <v>0.25384217202018106</v>
      </c>
      <c r="R21">
        <f t="shared" si="6"/>
        <v>0.63317135422251825</v>
      </c>
      <c r="S21">
        <f t="shared" si="7"/>
        <v>93.104399999999998</v>
      </c>
      <c r="T21">
        <f t="shared" si="8"/>
        <v>0.12925527809444395</v>
      </c>
      <c r="U21">
        <f t="shared" si="9"/>
        <v>129.25527809444395</v>
      </c>
    </row>
    <row r="22" spans="9:21">
      <c r="I22" s="1">
        <v>80</v>
      </c>
      <c r="J22" s="1">
        <v>7.14</v>
      </c>
      <c r="K22" s="1">
        <v>28.91</v>
      </c>
      <c r="L22">
        <f t="shared" si="0"/>
        <v>0.24697336561743341</v>
      </c>
      <c r="M22">
        <f t="shared" si="1"/>
        <v>0.62740798267009878</v>
      </c>
      <c r="N22">
        <f t="shared" si="2"/>
        <v>0.98338611249999996</v>
      </c>
      <c r="O22">
        <f t="shared" si="3"/>
        <v>0.98549711350097657</v>
      </c>
      <c r="P22">
        <f t="shared" si="4"/>
        <v>0.99785793284215996</v>
      </c>
      <c r="Q22">
        <f t="shared" si="5"/>
        <v>0.25060790359908919</v>
      </c>
      <c r="R22">
        <f t="shared" si="6"/>
        <v>0.63047071866635629</v>
      </c>
      <c r="S22">
        <f t="shared" si="7"/>
        <v>94.104399999999998</v>
      </c>
      <c r="T22">
        <f t="shared" si="8"/>
        <v>0.13132769991625468</v>
      </c>
      <c r="U22">
        <f t="shared" si="9"/>
        <v>131.32769991625469</v>
      </c>
    </row>
    <row r="23" spans="9:21">
      <c r="I23" s="1">
        <v>81</v>
      </c>
      <c r="J23" s="1">
        <v>7.37</v>
      </c>
      <c r="K23" s="1">
        <v>28.19</v>
      </c>
      <c r="L23">
        <f t="shared" si="0"/>
        <v>0.261440227030862</v>
      </c>
      <c r="M23">
        <f t="shared" si="1"/>
        <v>0.63942675479158839</v>
      </c>
      <c r="N23">
        <f t="shared" si="2"/>
        <v>0.98319424325560134</v>
      </c>
      <c r="O23">
        <f t="shared" si="3"/>
        <v>0.98541162215187739</v>
      </c>
      <c r="P23">
        <f t="shared" si="4"/>
        <v>0.99774979425203669</v>
      </c>
      <c r="Q23">
        <f t="shared" si="5"/>
        <v>0.26531067947011416</v>
      </c>
      <c r="R23">
        <f t="shared" si="6"/>
        <v>0.64256674257687885</v>
      </c>
      <c r="S23">
        <f t="shared" si="7"/>
        <v>95.104399999999998</v>
      </c>
      <c r="T23">
        <f t="shared" si="8"/>
        <v>0.13077804806848564</v>
      </c>
      <c r="U23">
        <f t="shared" si="9"/>
        <v>130.77804806848565</v>
      </c>
    </row>
    <row r="24" spans="9:21">
      <c r="I24" s="1">
        <v>82</v>
      </c>
      <c r="J24" s="1">
        <v>7.58</v>
      </c>
      <c r="K24" s="1">
        <v>27.4</v>
      </c>
      <c r="L24">
        <f t="shared" si="0"/>
        <v>0.27664233576642339</v>
      </c>
      <c r="M24">
        <f t="shared" si="1"/>
        <v>0.65158770508059161</v>
      </c>
      <c r="N24">
        <f t="shared" si="2"/>
        <v>0.98306336704342656</v>
      </c>
      <c r="O24">
        <f t="shared" si="3"/>
        <v>0.98536951379620774</v>
      </c>
      <c r="P24">
        <f t="shared" si="4"/>
        <v>0.99765961223633093</v>
      </c>
      <c r="Q24">
        <f t="shared" si="5"/>
        <v>0.28074984246329954</v>
      </c>
      <c r="R24">
        <f t="shared" si="6"/>
        <v>0.65479673778659842</v>
      </c>
      <c r="S24">
        <f t="shared" si="7"/>
        <v>96.104399999999998</v>
      </c>
      <c r="T24">
        <f t="shared" si="8"/>
        <v>0.12936301783347359</v>
      </c>
      <c r="U24">
        <f t="shared" si="9"/>
        <v>129.36301783347361</v>
      </c>
    </row>
    <row r="25" spans="9:21">
      <c r="I25" s="1">
        <v>84</v>
      </c>
      <c r="J25" s="1">
        <v>7.81</v>
      </c>
      <c r="K25" s="1">
        <v>27.3</v>
      </c>
      <c r="L25">
        <f t="shared" si="0"/>
        <v>0.28608058608058606</v>
      </c>
      <c r="M25">
        <f t="shared" si="1"/>
        <v>0.65891510322582625</v>
      </c>
      <c r="N25">
        <f t="shared" si="2"/>
        <v>0.98329417091836735</v>
      </c>
      <c r="O25">
        <f t="shared" si="3"/>
        <v>0.9856555889991343</v>
      </c>
      <c r="P25">
        <f t="shared" si="4"/>
        <v>0.99760421580608616</v>
      </c>
      <c r="Q25">
        <f t="shared" si="5"/>
        <v>0.29024396480223003</v>
      </c>
      <c r="R25">
        <f t="shared" si="6"/>
        <v>0.66209615529180288</v>
      </c>
      <c r="S25">
        <f t="shared" si="7"/>
        <v>98.104399999999998</v>
      </c>
      <c r="T25">
        <f t="shared" si="8"/>
        <v>0.13008724644235917</v>
      </c>
      <c r="U25">
        <f t="shared" si="9"/>
        <v>130.08724644235917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ECDC-735A-4F10-8179-1D1F1443D49B}">
  <dimension ref="A1:V13"/>
  <sheetViews>
    <sheetView topLeftCell="Q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11.58203125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18" width="12.33203125" bestFit="1" customWidth="1"/>
    <col min="19" max="19" width="8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10</v>
      </c>
      <c r="B2" s="2">
        <v>4</v>
      </c>
      <c r="C2" s="2">
        <v>25</v>
      </c>
      <c r="D2" s="2">
        <v>48</v>
      </c>
      <c r="E2" s="2">
        <v>8.5</v>
      </c>
      <c r="F2" s="2">
        <v>10</v>
      </c>
      <c r="G2" s="2">
        <f>0.09857/0.0069</f>
        <v>14.285507246376813</v>
      </c>
      <c r="H2" s="2" t="s">
        <v>9</v>
      </c>
      <c r="I2" s="2">
        <v>49</v>
      </c>
      <c r="J2" s="2">
        <v>3.3759000000000001</v>
      </c>
      <c r="K2" s="2">
        <v>42.277700000000003</v>
      </c>
      <c r="L2" s="3">
        <f>J2:J25/K2:K25</f>
        <v>7.9850606821090075E-2</v>
      </c>
      <c r="M2" s="3">
        <f>(L2:L25)^(1/3)</f>
        <v>0.43061855600423515</v>
      </c>
      <c r="N2" s="3">
        <f>1-((3/10)*(J2:J25/I2:I25)^2)-((3/2)*((J2:J25*8.5)/(I2:I25)^2))</f>
        <v>0.98064900656268217</v>
      </c>
      <c r="O2" s="3">
        <f>1-(10/I2:I25)^3-((9/8)*(1-(10/I2:I25)^2)*((J2:J25*8.5)/I2:I25^2))-((9/35)*(J2:J25/I2:I25)^2)</f>
        <v>0.9773943097517428</v>
      </c>
      <c r="P2" s="3">
        <f>N2:N25/O2:O25</f>
        <v>1.0033299731525611</v>
      </c>
      <c r="Q2" s="3">
        <f>L2:L25/O2:O25</f>
        <v>8.1697433701421948E-2</v>
      </c>
      <c r="R2" s="3">
        <f>Q2:Q25^(1/3)</f>
        <v>0.43391314298386269</v>
      </c>
      <c r="S2" s="3">
        <f>I2:I25+14.28550725</f>
        <v>63.285507250000002</v>
      </c>
      <c r="T2" s="3">
        <f>(P2:P25*3*K2:K25*J2:J25)/(2*25*S2:S25)</f>
        <v>0.13576621096483366</v>
      </c>
      <c r="U2" s="3">
        <f>T2:T25*1000</f>
        <v>135.76621096483365</v>
      </c>
      <c r="V2">
        <f>AVERAGE(U3:U13)</f>
        <v>130.15533099506331</v>
      </c>
    </row>
    <row r="3" spans="1:22">
      <c r="I3" s="1">
        <v>50</v>
      </c>
      <c r="J3" s="1">
        <v>3.2048000000000001</v>
      </c>
      <c r="K3" s="1">
        <v>40.144199999999998</v>
      </c>
      <c r="L3">
        <f t="shared" ref="L3:L13" si="0">J3:J26/K3:K26</f>
        <v>7.9832204901330708E-2</v>
      </c>
      <c r="M3">
        <f t="shared" ref="M3:M13" si="1">(L3:L26)^(1/3)</f>
        <v>0.43058547415622478</v>
      </c>
      <c r="N3">
        <f t="shared" ref="N3:N13" si="2">1-((3/10)*(J3:J26/I3:I26)^2)-((3/2)*((J3:J26*8.5)/(I3:I26)^2))</f>
        <v>0.9824230308352</v>
      </c>
      <c r="O3">
        <f t="shared" ref="O3:O13" si="3">1-(10/I3:I26)^3-((9/8)*(1-(10/I3:I26)^2)*((J3:J26*8.5)/I3:I26^2))-((9/35)*(J3:J26/I3:I26)^2)</f>
        <v>0.97917555511588572</v>
      </c>
      <c r="P3">
        <f t="shared" ref="P3:P13" si="4">N3:N26/O3:O26</f>
        <v>1.0033165408412692</v>
      </c>
      <c r="Q3">
        <f t="shared" ref="Q3:Q13" si="5">L3:L26/O3:O26</f>
        <v>8.1530022358332413E-2</v>
      </c>
      <c r="R3">
        <f t="shared" ref="R3:R13" si="6">Q3:Q26^(1/3)</f>
        <v>0.43361655407958544</v>
      </c>
      <c r="S3">
        <f t="shared" ref="S3:S13" si="7">I3:I26+14.28550725</f>
        <v>64.285507249999995</v>
      </c>
      <c r="T3">
        <f t="shared" ref="T3:T13" si="8">(P3:P26*3*K3:K26*J3:J26)/(2*25*S3:S26)</f>
        <v>0.12047581891986084</v>
      </c>
      <c r="U3">
        <f t="shared" ref="U3:U13" si="9">T3:T26*1000</f>
        <v>120.47581891986084</v>
      </c>
    </row>
    <row r="4" spans="1:22">
      <c r="I4" s="1">
        <v>51</v>
      </c>
      <c r="J4" s="1">
        <v>3.4459</v>
      </c>
      <c r="K4" s="1">
        <v>39.353999999999999</v>
      </c>
      <c r="L4">
        <f t="shared" si="0"/>
        <v>8.756162016567566E-2</v>
      </c>
      <c r="M4">
        <f t="shared" si="1"/>
        <v>0.44405619125842877</v>
      </c>
      <c r="N4">
        <f t="shared" si="2"/>
        <v>0.98173875700000002</v>
      </c>
      <c r="O4">
        <f t="shared" si="3"/>
        <v>0.97910582103208743</v>
      </c>
      <c r="P4">
        <f t="shared" si="4"/>
        <v>1.0026891229848243</v>
      </c>
      <c r="Q4">
        <f t="shared" si="5"/>
        <v>8.9430190572634821E-2</v>
      </c>
      <c r="R4">
        <f t="shared" si="6"/>
        <v>0.44719271364600366</v>
      </c>
      <c r="S4">
        <f t="shared" si="7"/>
        <v>65.285507249999995</v>
      </c>
      <c r="T4">
        <f t="shared" si="8"/>
        <v>0.12496613060757167</v>
      </c>
      <c r="U4">
        <f t="shared" si="9"/>
        <v>124.96613060757167</v>
      </c>
    </row>
    <row r="5" spans="1:22">
      <c r="I5" s="1">
        <v>52</v>
      </c>
      <c r="J5" s="1">
        <v>3.6046999999999998</v>
      </c>
      <c r="K5" s="1">
        <v>39.156100000000002</v>
      </c>
      <c r="L5">
        <f t="shared" si="0"/>
        <v>9.2059730156987027E-2</v>
      </c>
      <c r="M5">
        <f t="shared" si="1"/>
        <v>0.45153341925206658</v>
      </c>
      <c r="N5">
        <f t="shared" si="2"/>
        <v>0.98156135960539936</v>
      </c>
      <c r="O5">
        <f t="shared" si="3"/>
        <v>0.97937602966802706</v>
      </c>
      <c r="P5">
        <f t="shared" si="4"/>
        <v>1.0022313492174328</v>
      </c>
      <c r="Q5">
        <f t="shared" si="5"/>
        <v>9.3998349324714361E-2</v>
      </c>
      <c r="R5">
        <f t="shared" si="6"/>
        <v>0.45468093289052341</v>
      </c>
      <c r="S5">
        <f t="shared" si="7"/>
        <v>66.285507249999995</v>
      </c>
      <c r="T5">
        <f t="shared" si="8"/>
        <v>0.1280469401605305</v>
      </c>
      <c r="U5">
        <f t="shared" si="9"/>
        <v>128.04694016053051</v>
      </c>
    </row>
    <row r="6" spans="1:22">
      <c r="I6" s="1">
        <v>53</v>
      </c>
      <c r="J6" s="1">
        <v>3.8050000000000002</v>
      </c>
      <c r="K6" s="1">
        <v>39.057099999999998</v>
      </c>
      <c r="L6">
        <f t="shared" si="0"/>
        <v>9.7421467543673243E-2</v>
      </c>
      <c r="M6">
        <f t="shared" si="1"/>
        <v>0.46013459757475572</v>
      </c>
      <c r="N6">
        <f t="shared" si="2"/>
        <v>0.98118292719829114</v>
      </c>
      <c r="O6">
        <f t="shared" si="3"/>
        <v>0.97946570103281039</v>
      </c>
      <c r="P6">
        <f t="shared" si="4"/>
        <v>1.0017532274623502</v>
      </c>
      <c r="Q6">
        <f t="shared" si="5"/>
        <v>9.9463888772160072E-2</v>
      </c>
      <c r="R6">
        <f t="shared" si="6"/>
        <v>0.4633279273416675</v>
      </c>
      <c r="S6">
        <f t="shared" si="7"/>
        <v>67.285507249999995</v>
      </c>
      <c r="T6">
        <f t="shared" si="8"/>
        <v>0.13275323857065821</v>
      </c>
      <c r="U6">
        <f t="shared" si="9"/>
        <v>132.7532385706582</v>
      </c>
    </row>
    <row r="7" spans="1:22">
      <c r="I7" s="1">
        <v>55</v>
      </c>
      <c r="J7" s="1">
        <v>3.9967000000000001</v>
      </c>
      <c r="K7" s="1">
        <v>36.5871</v>
      </c>
      <c r="L7">
        <f t="shared" si="0"/>
        <v>0.10923795545424481</v>
      </c>
      <c r="M7">
        <f t="shared" si="1"/>
        <v>0.47803297370942127</v>
      </c>
      <c r="N7">
        <f t="shared" si="2"/>
        <v>0.98157024520099168</v>
      </c>
      <c r="O7">
        <f t="shared" si="3"/>
        <v>0.98041509347211175</v>
      </c>
      <c r="P7">
        <f t="shared" si="4"/>
        <v>1.0011782271984297</v>
      </c>
      <c r="Q7">
        <f t="shared" si="5"/>
        <v>0.11142010785185053</v>
      </c>
      <c r="R7">
        <f t="shared" si="6"/>
        <v>0.48119509470918814</v>
      </c>
      <c r="S7">
        <f t="shared" si="7"/>
        <v>69.285507249999995</v>
      </c>
      <c r="T7">
        <f t="shared" si="8"/>
        <v>0.12677971869437629</v>
      </c>
      <c r="U7">
        <f t="shared" si="9"/>
        <v>126.77971869437629</v>
      </c>
    </row>
    <row r="8" spans="1:22">
      <c r="I8" s="1">
        <v>60</v>
      </c>
      <c r="J8" s="1">
        <v>4.57179</v>
      </c>
      <c r="K8" s="1">
        <v>35.631900000000002</v>
      </c>
      <c r="L8">
        <f t="shared" si="0"/>
        <v>0.12830609650341407</v>
      </c>
      <c r="M8">
        <f t="shared" si="1"/>
        <v>0.50436982664340313</v>
      </c>
      <c r="N8">
        <f t="shared" si="2"/>
        <v>0.982066471766325</v>
      </c>
      <c r="O8">
        <f t="shared" si="3"/>
        <v>0.9820709340235001</v>
      </c>
      <c r="P8">
        <f t="shared" si="4"/>
        <v>0.9999954562781358</v>
      </c>
      <c r="Q8">
        <f t="shared" si="5"/>
        <v>0.13064850211761161</v>
      </c>
      <c r="R8">
        <f t="shared" si="6"/>
        <v>0.50742065896151878</v>
      </c>
      <c r="S8">
        <f t="shared" si="7"/>
        <v>74.285507249999995</v>
      </c>
      <c r="T8">
        <f t="shared" si="8"/>
        <v>0.13157410909778894</v>
      </c>
      <c r="U8">
        <f t="shared" si="9"/>
        <v>131.57410909778895</v>
      </c>
    </row>
    <row r="9" spans="1:22">
      <c r="I9" s="1">
        <v>65</v>
      </c>
      <c r="J9" s="1">
        <v>5.3445</v>
      </c>
      <c r="K9" s="1">
        <v>32.074800000000003</v>
      </c>
      <c r="L9">
        <f t="shared" si="0"/>
        <v>0.16662613640615059</v>
      </c>
      <c r="M9">
        <f t="shared" si="1"/>
        <v>0.55027659520869321</v>
      </c>
      <c r="N9">
        <f t="shared" si="2"/>
        <v>0.9818434369053255</v>
      </c>
      <c r="O9">
        <f t="shared" si="3"/>
        <v>0.98281024496425196</v>
      </c>
      <c r="P9">
        <f t="shared" si="4"/>
        <v>0.99901628207084714</v>
      </c>
      <c r="Q9">
        <f t="shared" si="5"/>
        <v>0.16954049600104781</v>
      </c>
      <c r="R9">
        <f t="shared" si="6"/>
        <v>0.55346625861012344</v>
      </c>
      <c r="S9">
        <f t="shared" si="7"/>
        <v>79.285507249999995</v>
      </c>
      <c r="T9">
        <f t="shared" si="8"/>
        <v>0.12959881968744946</v>
      </c>
      <c r="U9">
        <f t="shared" si="9"/>
        <v>129.59881968744946</v>
      </c>
    </row>
    <row r="10" spans="1:22">
      <c r="I10" s="1">
        <v>70</v>
      </c>
      <c r="J10" s="1">
        <v>6.2371999999999996</v>
      </c>
      <c r="K10" s="1">
        <v>30.296299999999999</v>
      </c>
      <c r="L10">
        <f t="shared" si="0"/>
        <v>0.20587332446536374</v>
      </c>
      <c r="M10">
        <f t="shared" si="1"/>
        <v>0.5904729755818362</v>
      </c>
      <c r="N10">
        <f t="shared" si="2"/>
        <v>0.98138875527510194</v>
      </c>
      <c r="O10">
        <f t="shared" si="3"/>
        <v>0.98311933209336111</v>
      </c>
      <c r="P10">
        <f t="shared" si="4"/>
        <v>0.99823970828182751</v>
      </c>
      <c r="Q10">
        <f t="shared" si="5"/>
        <v>0.2094082760299267</v>
      </c>
      <c r="R10">
        <f t="shared" si="6"/>
        <v>0.59383339055400131</v>
      </c>
      <c r="S10">
        <f t="shared" si="7"/>
        <v>84.285507249999995</v>
      </c>
      <c r="T10">
        <f t="shared" si="8"/>
        <v>0.13428034541546144</v>
      </c>
      <c r="U10">
        <f t="shared" si="9"/>
        <v>134.28034541546143</v>
      </c>
    </row>
    <row r="11" spans="1:22">
      <c r="I11" s="1">
        <v>75</v>
      </c>
      <c r="J11" s="1">
        <v>6.9032</v>
      </c>
      <c r="K11" s="1">
        <v>29.176400000000001</v>
      </c>
      <c r="L11">
        <f t="shared" si="0"/>
        <v>0.23660218532786773</v>
      </c>
      <c r="M11">
        <f t="shared" si="1"/>
        <v>0.61849982895380706</v>
      </c>
      <c r="N11">
        <f t="shared" si="2"/>
        <v>0.98181119092053337</v>
      </c>
      <c r="O11">
        <f t="shared" si="3"/>
        <v>0.98392434332024548</v>
      </c>
      <c r="P11">
        <f t="shared" si="4"/>
        <v>0.99785232227044884</v>
      </c>
      <c r="Q11">
        <f t="shared" si="5"/>
        <v>0.24046786415452981</v>
      </c>
      <c r="R11">
        <f t="shared" si="6"/>
        <v>0.62185006204066662</v>
      </c>
      <c r="S11">
        <f t="shared" si="7"/>
        <v>89.285507249999995</v>
      </c>
      <c r="T11">
        <f t="shared" si="8"/>
        <v>0.13505750201049146</v>
      </c>
      <c r="U11">
        <f t="shared" si="9"/>
        <v>135.05750201049148</v>
      </c>
    </row>
    <row r="12" spans="1:22">
      <c r="I12" s="1">
        <v>80</v>
      </c>
      <c r="J12" s="1">
        <v>7.5388999999999999</v>
      </c>
      <c r="K12" s="1">
        <v>28.254200000000001</v>
      </c>
      <c r="L12">
        <f t="shared" si="0"/>
        <v>0.26682404739826288</v>
      </c>
      <c r="M12">
        <f t="shared" si="1"/>
        <v>0.64378618935634069</v>
      </c>
      <c r="N12">
        <f t="shared" si="2"/>
        <v>0.98231695641203121</v>
      </c>
      <c r="O12">
        <f t="shared" si="3"/>
        <v>0.98467515136612649</v>
      </c>
      <c r="P12">
        <f t="shared" si="4"/>
        <v>0.99760510362140897</v>
      </c>
      <c r="Q12">
        <f t="shared" si="5"/>
        <v>0.27097672468740008</v>
      </c>
      <c r="R12">
        <f t="shared" si="6"/>
        <v>0.64710883560761001</v>
      </c>
      <c r="S12">
        <f t="shared" si="7"/>
        <v>94.285507249999995</v>
      </c>
      <c r="T12">
        <f t="shared" si="8"/>
        <v>0.13522468188308068</v>
      </c>
      <c r="U12">
        <f t="shared" si="9"/>
        <v>135.22468188308068</v>
      </c>
    </row>
    <row r="13" spans="1:22">
      <c r="I13" s="1">
        <v>85</v>
      </c>
      <c r="J13" s="1">
        <v>8.1384000000000007</v>
      </c>
      <c r="K13" s="1">
        <v>27.101500000000001</v>
      </c>
      <c r="L13">
        <f t="shared" si="0"/>
        <v>0.30029334169695404</v>
      </c>
      <c r="M13">
        <f t="shared" si="1"/>
        <v>0.66965107077947494</v>
      </c>
      <c r="N13">
        <f t="shared" si="2"/>
        <v>0.98288793545079578</v>
      </c>
      <c r="O13">
        <f t="shared" si="3"/>
        <v>0.98539204149976911</v>
      </c>
      <c r="P13">
        <f t="shared" si="4"/>
        <v>0.99745877179486642</v>
      </c>
      <c r="Q13">
        <f t="shared" si="5"/>
        <v>0.30474504466253538</v>
      </c>
      <c r="R13">
        <f t="shared" si="6"/>
        <v>0.67294393625837279</v>
      </c>
      <c r="S13">
        <f t="shared" si="7"/>
        <v>99.285507249999995</v>
      </c>
      <c r="T13">
        <f t="shared" si="8"/>
        <v>0.13295133589842703</v>
      </c>
      <c r="U13">
        <f t="shared" si="9"/>
        <v>132.95133589842703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5238-FDFC-4F96-9928-F5EC70638BD0}">
  <dimension ref="A1:I3"/>
  <sheetViews>
    <sheetView workbookViewId="0">
      <selection activeCell="F1" sqref="F1"/>
    </sheetView>
  </sheetViews>
  <sheetFormatPr defaultRowHeight="14"/>
  <sheetData>
    <row r="1" spans="1:9">
      <c r="A1">
        <v>1</v>
      </c>
      <c r="B1">
        <v>2</v>
      </c>
      <c r="C1">
        <v>3</v>
      </c>
      <c r="D1" t="s">
        <v>24</v>
      </c>
      <c r="E1" t="s">
        <v>25</v>
      </c>
      <c r="G1" t="s">
        <v>26</v>
      </c>
      <c r="H1" t="s">
        <v>27</v>
      </c>
    </row>
    <row r="2" spans="1:9">
      <c r="A2">
        <v>3.81</v>
      </c>
      <c r="B2">
        <v>3.9</v>
      </c>
      <c r="C2">
        <v>3.93</v>
      </c>
      <c r="D2">
        <f>AVERAGE(A2:C2)</f>
        <v>3.8800000000000003</v>
      </c>
      <c r="E2">
        <f>D2/2</f>
        <v>1.9400000000000002</v>
      </c>
      <c r="F2">
        <v>12.52</v>
      </c>
      <c r="G2">
        <f>AVERAGE(F2:F3)</f>
        <v>12.49</v>
      </c>
      <c r="H2">
        <f>G2/2</f>
        <v>6.2450000000000001</v>
      </c>
      <c r="I2">
        <f>H2+E2</f>
        <v>8.1850000000000005</v>
      </c>
    </row>
    <row r="3" spans="1:9">
      <c r="F3">
        <v>12.46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8624-08F2-47E0-8628-2F562412AF91}">
  <dimension ref="A1:V17"/>
  <sheetViews>
    <sheetView zoomScaleNormal="100" workbookViewId="0">
      <selection activeCell="J7" sqref="J7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29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28</v>
      </c>
      <c r="B2" s="2">
        <v>3.91</v>
      </c>
      <c r="C2" s="2">
        <v>24.91</v>
      </c>
      <c r="D2" s="2">
        <v>45</v>
      </c>
      <c r="E2" s="2">
        <v>8.2349999999999994</v>
      </c>
      <c r="F2" s="2">
        <v>8.69</v>
      </c>
      <c r="G2" s="2">
        <f>0.07387/0.00685</f>
        <v>10.783941605839416</v>
      </c>
      <c r="H2" s="2" t="s">
        <v>9</v>
      </c>
      <c r="I2" s="2">
        <v>45</v>
      </c>
      <c r="J2" s="2">
        <v>2.2965</v>
      </c>
      <c r="K2" s="2">
        <v>53.549500000000002</v>
      </c>
      <c r="L2" s="3">
        <f>J2:J25/K2:K25</f>
        <v>4.2885554486969998E-2</v>
      </c>
      <c r="M2" s="3">
        <f>(L2:L25)^(1/3)</f>
        <v>0.35002871733612695</v>
      </c>
      <c r="N2" s="3">
        <f>1-((3/10)*(J2:J25/I2:I25)^2)-((3/2)*((J2:J25*E2)/(I2:I25)^2))</f>
        <v>0.98521002966666671</v>
      </c>
      <c r="O2" s="3">
        <f>1-(F2/I2:I25)^3-((9/8)*(1-(F2/I2:I25)^2)*((J2:J25*E2)/I2:I25^2))-((9/35)*(J2:J25/I2:I25)^2)</f>
        <v>0.98201413576846186</v>
      </c>
      <c r="P2" s="3">
        <f>N2:N25/O2:O25</f>
        <v>1.003254427591008</v>
      </c>
      <c r="Q2" s="3">
        <f>L2:L25/O2:O25</f>
        <v>4.3671015441555217E-2</v>
      </c>
      <c r="R2" s="3">
        <f>Q2:Q25^(1/3)</f>
        <v>0.35215276018938635</v>
      </c>
      <c r="S2" s="3">
        <f>I2:I25+G2</f>
        <v>55.783941605839416</v>
      </c>
      <c r="T2" s="3">
        <f>(P2:P25*3*K2:K25*J2:J25)/(2*24.91*S2:S25)</f>
        <v>0.13318069866076745</v>
      </c>
      <c r="U2" s="3">
        <f>T2:T25*1000</f>
        <v>133.18069866076746</v>
      </c>
      <c r="V2">
        <f>AVERAGE(U3:U17)</f>
        <v>126.54394262816089</v>
      </c>
    </row>
    <row r="3" spans="1:22">
      <c r="E3" s="1">
        <v>8.2349999999999994</v>
      </c>
      <c r="F3" s="1">
        <v>8.69</v>
      </c>
      <c r="G3" s="1">
        <f t="shared" ref="G3:G17" si="0">0.07387/0.00685</f>
        <v>10.783941605839416</v>
      </c>
      <c r="I3" s="1">
        <v>46</v>
      </c>
      <c r="J3" s="1">
        <v>2.5764999999999998</v>
      </c>
      <c r="K3" s="1">
        <v>45.499299999999998</v>
      </c>
      <c r="L3">
        <f t="shared" ref="L3:L17" si="1">J3:J26/K3:K26</f>
        <v>5.6627244814755388E-2</v>
      </c>
      <c r="M3">
        <f t="shared" ref="M3:M17" si="2">(L3:L26)^(1/3)</f>
        <v>0.38400936033759453</v>
      </c>
      <c r="N3">
        <f t="shared" ref="N3:N17" si="3">1-((3/10)*(J3:J26/I3:I26)^2)-((3/2)*((J3:J26*E3)/(I3:I26)^2))</f>
        <v>0.98401808982750472</v>
      </c>
      <c r="O3">
        <f t="shared" ref="O3:O17" si="4">1-(F3/I3:I26)^3-((9/8)*(1-(F3/I3:I26)^2)*((J3:J26*E3)/I3:I26^2))-((9/35)*(J3:J26/I3:I26)^2)</f>
        <v>0.98157335560665226</v>
      </c>
      <c r="P3">
        <f t="shared" ref="P3:P17" si="5">N3:N26/O3:O26</f>
        <v>1.0024906281399024</v>
      </c>
      <c r="Q3">
        <f t="shared" ref="Q3:Q17" si="6">L3:L26/O3:O26</f>
        <v>5.7690283147261517E-2</v>
      </c>
      <c r="R3">
        <f t="shared" ref="R3:R17" si="7">Q3:Q26^(1/3)</f>
        <v>0.38639742494729129</v>
      </c>
      <c r="S3">
        <f t="shared" ref="S3:S17" si="8">I3:I26+G3</f>
        <v>56.783941605839416</v>
      </c>
      <c r="T3">
        <f t="shared" ref="T3:T17" si="9">(P3:P26*3*K3:K26*J3:J26)/(2*24.91*S3:S26)</f>
        <v>0.12462557622518583</v>
      </c>
      <c r="U3">
        <f t="shared" ref="U3:U17" si="10">T3:T26*1000</f>
        <v>124.62557622518582</v>
      </c>
    </row>
    <row r="4" spans="1:22">
      <c r="E4" s="1">
        <v>8.2349999999999994</v>
      </c>
      <c r="F4" s="1">
        <v>8.69</v>
      </c>
      <c r="G4" s="1">
        <f t="shared" si="0"/>
        <v>10.783941605839416</v>
      </c>
      <c r="I4" s="1">
        <v>47</v>
      </c>
      <c r="J4" s="1">
        <v>2.6819000000000002</v>
      </c>
      <c r="K4" s="1">
        <v>44.329500000000003</v>
      </c>
      <c r="L4">
        <f t="shared" si="1"/>
        <v>6.0499216097632501E-2</v>
      </c>
      <c r="M4">
        <f t="shared" si="2"/>
        <v>0.39256952499619491</v>
      </c>
      <c r="N4">
        <f t="shared" si="3"/>
        <v>0.9840262806550476</v>
      </c>
      <c r="O4">
        <f t="shared" si="4"/>
        <v>0.9819788530056468</v>
      </c>
      <c r="P4">
        <f t="shared" si="5"/>
        <v>1.0020850017728324</v>
      </c>
      <c r="Q4">
        <f t="shared" si="6"/>
        <v>6.1609489769006875E-2</v>
      </c>
      <c r="R4">
        <f t="shared" si="7"/>
        <v>0.39495644399080332</v>
      </c>
      <c r="S4">
        <f t="shared" si="8"/>
        <v>57.783941605839416</v>
      </c>
      <c r="T4">
        <f t="shared" si="9"/>
        <v>0.12415103480114331</v>
      </c>
      <c r="U4">
        <f t="shared" si="10"/>
        <v>124.15103480114331</v>
      </c>
    </row>
    <row r="5" spans="1:22">
      <c r="E5" s="1">
        <v>8.2349999999999994</v>
      </c>
      <c r="F5" s="1">
        <v>8.69</v>
      </c>
      <c r="G5" s="1">
        <f t="shared" si="0"/>
        <v>10.783941605839416</v>
      </c>
      <c r="I5" s="1">
        <v>48</v>
      </c>
      <c r="J5" s="1">
        <v>2.8170000000000002</v>
      </c>
      <c r="K5" s="1">
        <v>43.045000000000002</v>
      </c>
      <c r="L5">
        <f t="shared" si="1"/>
        <v>6.544314089905913E-2</v>
      </c>
      <c r="M5">
        <f t="shared" si="2"/>
        <v>0.40298422418743557</v>
      </c>
      <c r="N5">
        <f t="shared" si="3"/>
        <v>0.98386387187500002</v>
      </c>
      <c r="O5">
        <f t="shared" si="4"/>
        <v>0.98222461918242321</v>
      </c>
      <c r="P5">
        <f t="shared" si="5"/>
        <v>1.0016689183518341</v>
      </c>
      <c r="Q5">
        <f t="shared" si="6"/>
        <v>6.6627469543099213E-2</v>
      </c>
      <c r="R5">
        <f t="shared" si="7"/>
        <v>0.40540064918410423</v>
      </c>
      <c r="S5">
        <f t="shared" si="8"/>
        <v>58.783941605839416</v>
      </c>
      <c r="T5">
        <f t="shared" si="9"/>
        <v>0.12442068422785828</v>
      </c>
      <c r="U5">
        <f t="shared" si="10"/>
        <v>124.42068422785827</v>
      </c>
    </row>
    <row r="6" spans="1:22">
      <c r="E6" s="1">
        <v>8.2349999999999994</v>
      </c>
      <c r="F6" s="1">
        <v>8.69</v>
      </c>
      <c r="G6" s="1">
        <f t="shared" si="0"/>
        <v>10.783941605839416</v>
      </c>
      <c r="I6" s="1">
        <v>49</v>
      </c>
      <c r="J6" s="1">
        <v>2.9339</v>
      </c>
      <c r="K6" s="1">
        <v>42.649700000000003</v>
      </c>
      <c r="L6">
        <f t="shared" si="1"/>
        <v>6.8790636276456804E-2</v>
      </c>
      <c r="M6">
        <f t="shared" si="2"/>
        <v>0.40974133253195988</v>
      </c>
      <c r="N6">
        <f t="shared" si="3"/>
        <v>0.98383034964056648</v>
      </c>
      <c r="O6">
        <f t="shared" si="4"/>
        <v>0.98253567758364069</v>
      </c>
      <c r="P6">
        <f t="shared" si="5"/>
        <v>1.0013176845243013</v>
      </c>
      <c r="Q6">
        <f t="shared" si="6"/>
        <v>7.0013372385249434E-2</v>
      </c>
      <c r="R6">
        <f t="shared" si="7"/>
        <v>0.41215477184073107</v>
      </c>
      <c r="S6">
        <f t="shared" si="8"/>
        <v>59.783941605839416</v>
      </c>
      <c r="T6">
        <f t="shared" si="9"/>
        <v>0.12620197767880434</v>
      </c>
      <c r="U6">
        <f t="shared" si="10"/>
        <v>126.20197767880434</v>
      </c>
    </row>
    <row r="7" spans="1:22">
      <c r="E7" s="1">
        <v>8.2349999999999994</v>
      </c>
      <c r="F7" s="1">
        <v>8.69</v>
      </c>
      <c r="G7" s="1">
        <f t="shared" si="0"/>
        <v>10.783941605839416</v>
      </c>
      <c r="I7" s="1">
        <v>50</v>
      </c>
      <c r="J7" s="1">
        <v>3.0821100000000001</v>
      </c>
      <c r="K7" s="1">
        <v>42.188600000000001</v>
      </c>
      <c r="L7">
        <f t="shared" si="1"/>
        <v>7.3055517367250869E-2</v>
      </c>
      <c r="M7">
        <f t="shared" si="2"/>
        <v>0.4180398406949194</v>
      </c>
      <c r="N7">
        <f t="shared" si="3"/>
        <v>0.98363136624374803</v>
      </c>
      <c r="O7">
        <f t="shared" si="4"/>
        <v>0.98269651397601876</v>
      </c>
      <c r="P7">
        <f t="shared" si="5"/>
        <v>1.0009513133041927</v>
      </c>
      <c r="Q7">
        <f t="shared" si="6"/>
        <v>7.4341891243376979E-2</v>
      </c>
      <c r="R7">
        <f t="shared" si="7"/>
        <v>0.42047921726257065</v>
      </c>
      <c r="S7">
        <f t="shared" si="8"/>
        <v>60.783941605839416</v>
      </c>
      <c r="T7">
        <f t="shared" si="9"/>
        <v>0.12893917130554861</v>
      </c>
      <c r="U7">
        <f t="shared" si="10"/>
        <v>128.9391713055486</v>
      </c>
    </row>
    <row r="8" spans="1:22">
      <c r="E8" s="1">
        <v>8.2349999999999994</v>
      </c>
      <c r="F8" s="1">
        <v>8.69</v>
      </c>
      <c r="G8" s="1">
        <f t="shared" si="0"/>
        <v>10.783941605839416</v>
      </c>
      <c r="I8" s="1">
        <v>51</v>
      </c>
      <c r="J8" s="1">
        <v>3.1644999999999999</v>
      </c>
      <c r="K8" s="1">
        <v>41.9251</v>
      </c>
      <c r="L8">
        <f t="shared" si="1"/>
        <v>7.5479843816711231E-2</v>
      </c>
      <c r="M8">
        <f t="shared" si="2"/>
        <v>0.42261379018640544</v>
      </c>
      <c r="N8">
        <f t="shared" si="3"/>
        <v>0.98381633820645908</v>
      </c>
      <c r="O8">
        <f t="shared" si="4"/>
        <v>0.9831186728808291</v>
      </c>
      <c r="P8">
        <f t="shared" si="5"/>
        <v>1.0007096450763016</v>
      </c>
      <c r="Q8">
        <f t="shared" si="6"/>
        <v>7.6775923292691534E-2</v>
      </c>
      <c r="R8">
        <f t="shared" si="7"/>
        <v>0.4250190040732868</v>
      </c>
      <c r="S8">
        <f t="shared" si="8"/>
        <v>61.783941605839416</v>
      </c>
      <c r="T8">
        <f t="shared" si="9"/>
        <v>0.12939849135561737</v>
      </c>
      <c r="U8">
        <f t="shared" si="10"/>
        <v>129.39849135561738</v>
      </c>
    </row>
    <row r="9" spans="1:22">
      <c r="E9" s="1">
        <v>8.2349999999999994</v>
      </c>
      <c r="F9" s="1">
        <v>8.69</v>
      </c>
      <c r="G9" s="1">
        <f t="shared" si="0"/>
        <v>10.783941605839416</v>
      </c>
      <c r="I9" s="1">
        <v>52</v>
      </c>
      <c r="J9" s="1">
        <v>3.2534000000000001</v>
      </c>
      <c r="K9" s="1">
        <v>41.233499999999999</v>
      </c>
      <c r="L9">
        <f t="shared" si="1"/>
        <v>7.8901863775813361E-2</v>
      </c>
      <c r="M9">
        <f t="shared" si="2"/>
        <v>0.42890629529296886</v>
      </c>
      <c r="N9">
        <f t="shared" si="3"/>
        <v>0.98396338499704139</v>
      </c>
      <c r="O9">
        <f t="shared" si="4"/>
        <v>0.98349089477535989</v>
      </c>
      <c r="P9">
        <f t="shared" si="5"/>
        <v>1.0004804215516296</v>
      </c>
      <c r="Q9">
        <f t="shared" si="6"/>
        <v>8.0226328677740738E-2</v>
      </c>
      <c r="R9">
        <f t="shared" si="7"/>
        <v>0.43129289737458681</v>
      </c>
      <c r="S9">
        <f t="shared" si="8"/>
        <v>62.783941605839416</v>
      </c>
      <c r="T9">
        <f t="shared" si="9"/>
        <v>0.12872568485969674</v>
      </c>
      <c r="U9">
        <f t="shared" si="10"/>
        <v>128.72568485969674</v>
      </c>
    </row>
    <row r="10" spans="1:22">
      <c r="E10" s="1">
        <v>8.2349999999999994</v>
      </c>
      <c r="F10" s="1">
        <v>8.69</v>
      </c>
      <c r="G10" s="1">
        <f t="shared" si="0"/>
        <v>10.783941605839416</v>
      </c>
      <c r="I10" s="1">
        <v>55</v>
      </c>
      <c r="J10" s="1">
        <v>3.3536700000000002</v>
      </c>
      <c r="K10" s="1">
        <v>38.796199999999999</v>
      </c>
      <c r="L10">
        <f t="shared" si="1"/>
        <v>8.6443259906898107E-2</v>
      </c>
      <c r="M10">
        <f t="shared" si="2"/>
        <v>0.4421575503314728</v>
      </c>
      <c r="N10">
        <f t="shared" si="3"/>
        <v>0.98518997044110079</v>
      </c>
      <c r="O10">
        <f t="shared" si="4"/>
        <v>0.98508506133399698</v>
      </c>
      <c r="P10">
        <f t="shared" si="5"/>
        <v>1.0001064975109477</v>
      </c>
      <c r="Q10">
        <f t="shared" si="6"/>
        <v>8.7752076749430252E-2</v>
      </c>
      <c r="R10">
        <f t="shared" si="7"/>
        <v>0.44437791585283637</v>
      </c>
      <c r="S10">
        <f t="shared" si="8"/>
        <v>65.783941605839416</v>
      </c>
      <c r="T10">
        <f t="shared" si="9"/>
        <v>0.11911142051763306</v>
      </c>
      <c r="U10">
        <f t="shared" si="10"/>
        <v>119.11142051763305</v>
      </c>
    </row>
    <row r="11" spans="1:22">
      <c r="E11" s="1">
        <v>8.2349999999999994</v>
      </c>
      <c r="F11" s="1">
        <v>8.69</v>
      </c>
      <c r="G11" s="1">
        <f t="shared" si="0"/>
        <v>10.783941605839416</v>
      </c>
      <c r="I11" s="1">
        <v>60</v>
      </c>
      <c r="J11" s="1">
        <v>4.1246</v>
      </c>
      <c r="K11" s="1">
        <v>36.161299999999997</v>
      </c>
      <c r="L11">
        <f t="shared" si="1"/>
        <v>0.11406116483644117</v>
      </c>
      <c r="M11">
        <f t="shared" si="2"/>
        <v>0.48496746136107338</v>
      </c>
      <c r="N11">
        <f t="shared" si="3"/>
        <v>0.98442977248666663</v>
      </c>
      <c r="O11">
        <f t="shared" si="4"/>
        <v>0.9853549640580056</v>
      </c>
      <c r="P11">
        <f t="shared" si="5"/>
        <v>0.99906105758321984</v>
      </c>
      <c r="Q11">
        <f t="shared" si="6"/>
        <v>0.11575642179413291</v>
      </c>
      <c r="R11">
        <f t="shared" si="7"/>
        <v>0.4873582975138408</v>
      </c>
      <c r="S11">
        <f t="shared" si="8"/>
        <v>70.783941605839416</v>
      </c>
      <c r="T11">
        <f t="shared" si="9"/>
        <v>0.12676538863021017</v>
      </c>
      <c r="U11">
        <f t="shared" si="10"/>
        <v>126.76538863021017</v>
      </c>
    </row>
    <row r="12" spans="1:22">
      <c r="E12" s="1">
        <v>8.2349999999999994</v>
      </c>
      <c r="F12" s="1">
        <v>8.69</v>
      </c>
      <c r="G12" s="1">
        <f t="shared" si="0"/>
        <v>10.783941605839416</v>
      </c>
      <c r="I12" s="1">
        <v>65</v>
      </c>
      <c r="J12" s="1">
        <v>4.7256999999999998</v>
      </c>
      <c r="K12" s="1">
        <v>34.250900000000001</v>
      </c>
      <c r="L12">
        <f t="shared" si="1"/>
        <v>0.13797301676744259</v>
      </c>
      <c r="M12">
        <f t="shared" si="2"/>
        <v>0.51673124191008291</v>
      </c>
      <c r="N12">
        <f t="shared" si="3"/>
        <v>0.98459789789420116</v>
      </c>
      <c r="O12">
        <f t="shared" si="4"/>
        <v>0.98607416915032786</v>
      </c>
      <c r="P12">
        <f t="shared" si="5"/>
        <v>0.99850288010546029</v>
      </c>
      <c r="Q12">
        <f t="shared" si="6"/>
        <v>0.13992154047228519</v>
      </c>
      <c r="R12">
        <f t="shared" si="7"/>
        <v>0.51915239190785856</v>
      </c>
      <c r="S12">
        <f t="shared" si="8"/>
        <v>75.783941605839416</v>
      </c>
      <c r="T12">
        <f t="shared" si="9"/>
        <v>0.12841856113509173</v>
      </c>
      <c r="U12">
        <f t="shared" si="10"/>
        <v>128.41856113509172</v>
      </c>
    </row>
    <row r="13" spans="1:22">
      <c r="E13" s="1">
        <v>8.2349999999999994</v>
      </c>
      <c r="F13" s="1">
        <v>8.69</v>
      </c>
      <c r="G13" s="1">
        <f t="shared" si="0"/>
        <v>10.783941605839416</v>
      </c>
      <c r="I13" s="1">
        <v>70</v>
      </c>
      <c r="J13" s="1">
        <v>5.2675999999999998</v>
      </c>
      <c r="K13" s="1">
        <v>32.505299999999998</v>
      </c>
      <c r="L13">
        <f t="shared" si="1"/>
        <v>0.16205357280197383</v>
      </c>
      <c r="M13">
        <f t="shared" si="2"/>
        <v>0.54519626273405675</v>
      </c>
      <c r="N13">
        <f t="shared" si="3"/>
        <v>0.98502197715755102</v>
      </c>
      <c r="O13">
        <f t="shared" si="4"/>
        <v>0.98682473237550916</v>
      </c>
      <c r="P13">
        <f t="shared" si="5"/>
        <v>0.99817317588542953</v>
      </c>
      <c r="Q13">
        <f t="shared" si="6"/>
        <v>0.16421717807160591</v>
      </c>
      <c r="R13">
        <f t="shared" si="7"/>
        <v>0.54761188049804821</v>
      </c>
      <c r="S13">
        <f t="shared" si="8"/>
        <v>80.783941605839416</v>
      </c>
      <c r="T13">
        <f t="shared" si="9"/>
        <v>0.12739880504830356</v>
      </c>
      <c r="U13">
        <f t="shared" si="10"/>
        <v>127.39880504830356</v>
      </c>
    </row>
    <row r="14" spans="1:22">
      <c r="E14" s="1">
        <v>8.2349999999999994</v>
      </c>
      <c r="F14" s="1">
        <v>8.69</v>
      </c>
      <c r="G14" s="1">
        <f t="shared" si="0"/>
        <v>10.783941605839416</v>
      </c>
      <c r="I14" s="1">
        <v>75</v>
      </c>
      <c r="J14" s="1">
        <v>5.9608999999999996</v>
      </c>
      <c r="K14" s="1">
        <v>30.9573</v>
      </c>
      <c r="L14">
        <f t="shared" si="1"/>
        <v>0.1925523220694311</v>
      </c>
      <c r="M14">
        <f t="shared" si="2"/>
        <v>0.57745248343207756</v>
      </c>
      <c r="N14">
        <f t="shared" si="3"/>
        <v>0.9850148060634667</v>
      </c>
      <c r="O14">
        <f t="shared" si="4"/>
        <v>0.98713434502430886</v>
      </c>
      <c r="P14">
        <f t="shared" si="5"/>
        <v>0.99785283637275335</v>
      </c>
      <c r="Q14">
        <f t="shared" si="6"/>
        <v>0.19506192144969828</v>
      </c>
      <c r="R14">
        <f t="shared" si="7"/>
        <v>0.57995037372632363</v>
      </c>
      <c r="S14">
        <f t="shared" si="8"/>
        <v>85.783941605839416</v>
      </c>
      <c r="T14">
        <f t="shared" si="9"/>
        <v>0.12925666380262593</v>
      </c>
      <c r="U14">
        <f t="shared" si="10"/>
        <v>129.25666380262592</v>
      </c>
    </row>
    <row r="15" spans="1:22">
      <c r="E15" s="1">
        <v>8.2349999999999994</v>
      </c>
      <c r="F15" s="1">
        <v>8.69</v>
      </c>
      <c r="G15" s="1">
        <f t="shared" si="0"/>
        <v>10.783941605839416</v>
      </c>
      <c r="I15" s="1">
        <v>80</v>
      </c>
      <c r="J15" s="1">
        <v>6.8155999999999999</v>
      </c>
      <c r="K15" s="1">
        <v>28.1906</v>
      </c>
      <c r="L15">
        <f t="shared" si="1"/>
        <v>0.24176853277333579</v>
      </c>
      <c r="M15">
        <f t="shared" si="2"/>
        <v>0.62296922329349047</v>
      </c>
      <c r="N15">
        <f t="shared" si="3"/>
        <v>0.98466790312374997</v>
      </c>
      <c r="O15">
        <f t="shared" si="4"/>
        <v>0.98710233219143495</v>
      </c>
      <c r="P15">
        <f t="shared" si="5"/>
        <v>0.99753376221664847</v>
      </c>
      <c r="Q15">
        <f t="shared" si="6"/>
        <v>0.24492752664923104</v>
      </c>
      <c r="R15">
        <f t="shared" si="7"/>
        <v>0.62567076925956833</v>
      </c>
      <c r="S15">
        <f t="shared" si="8"/>
        <v>90.783941605839416</v>
      </c>
      <c r="T15">
        <f t="shared" si="9"/>
        <v>0.12712896578810287</v>
      </c>
      <c r="U15">
        <f t="shared" si="10"/>
        <v>127.12896578810287</v>
      </c>
    </row>
    <row r="16" spans="1:22">
      <c r="E16" s="1">
        <v>8.2349999999999994</v>
      </c>
      <c r="F16" s="1">
        <v>8.69</v>
      </c>
      <c r="G16" s="1">
        <f t="shared" si="0"/>
        <v>10.783941605839416</v>
      </c>
      <c r="I16" s="1">
        <v>85</v>
      </c>
      <c r="J16" s="1">
        <v>7.7099000000000002</v>
      </c>
      <c r="K16" s="1">
        <v>27.400200000000002</v>
      </c>
      <c r="L16">
        <f t="shared" si="1"/>
        <v>0.28138115780176787</v>
      </c>
      <c r="M16">
        <f t="shared" si="2"/>
        <v>0.65528717885220888</v>
      </c>
      <c r="N16">
        <f t="shared" si="3"/>
        <v>0.98435026890615918</v>
      </c>
      <c r="O16">
        <f t="shared" si="4"/>
        <v>0.98703301293845946</v>
      </c>
      <c r="P16">
        <f t="shared" si="5"/>
        <v>0.99728201185053211</v>
      </c>
      <c r="Q16">
        <f t="shared" si="6"/>
        <v>0.28507775739342134</v>
      </c>
      <c r="R16">
        <f t="shared" si="7"/>
        <v>0.6581442801234787</v>
      </c>
      <c r="S16">
        <f t="shared" si="8"/>
        <v>95.783941605839416</v>
      </c>
      <c r="T16">
        <f t="shared" si="9"/>
        <v>0.13244796514681259</v>
      </c>
      <c r="U16">
        <f t="shared" si="10"/>
        <v>132.44796514681258</v>
      </c>
    </row>
    <row r="17" spans="5:21">
      <c r="E17" s="1">
        <v>8.2349999999999994</v>
      </c>
      <c r="F17" s="1">
        <v>8.69</v>
      </c>
      <c r="G17" s="1">
        <f t="shared" si="0"/>
        <v>10.783941605839416</v>
      </c>
      <c r="I17" s="1">
        <v>90</v>
      </c>
      <c r="J17" s="1">
        <v>8.1891999999999996</v>
      </c>
      <c r="K17" s="1">
        <v>24.831099999999999</v>
      </c>
      <c r="L17">
        <f t="shared" si="1"/>
        <v>0.32979610246827568</v>
      </c>
      <c r="M17">
        <f t="shared" si="2"/>
        <v>0.69089996860346803</v>
      </c>
      <c r="N17">
        <f t="shared" si="3"/>
        <v>0.98502765530962955</v>
      </c>
      <c r="O17">
        <f t="shared" si="4"/>
        <v>0.98769175611194937</v>
      </c>
      <c r="P17">
        <f t="shared" si="5"/>
        <v>0.99730270017357736</v>
      </c>
      <c r="Q17">
        <f t="shared" si="6"/>
        <v>0.33390589769273638</v>
      </c>
      <c r="R17">
        <f t="shared" si="7"/>
        <v>0.69375804121659201</v>
      </c>
      <c r="S17">
        <f t="shared" si="8"/>
        <v>100.78394160583942</v>
      </c>
      <c r="T17">
        <f t="shared" si="9"/>
        <v>0.12116874889977891</v>
      </c>
      <c r="U17">
        <f t="shared" si="10"/>
        <v>121.1687488997789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4948-A629-4944-8E9C-0DFADD127903}">
  <dimension ref="A1:V16"/>
  <sheetViews>
    <sheetView topLeftCell="M1" zoomScaleNormal="100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3" width="12.33203125" bestFit="1" customWidth="1"/>
    <col min="14" max="14" width="11.25" bestFit="1" customWidth="1"/>
    <col min="15" max="17" width="12.33203125" bestFit="1" customWidth="1"/>
    <col min="18" max="18" width="11.25" bestFit="1" customWidth="1"/>
    <col min="19" max="19" width="9.1640625" bestFit="1" customWidth="1"/>
    <col min="20" max="21" width="12.33203125" bestFit="1" customWidth="1"/>
    <col min="22" max="22" width="12.4140625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31</v>
      </c>
      <c r="B2" s="2">
        <v>3.87</v>
      </c>
      <c r="C2" s="2">
        <v>24.82</v>
      </c>
      <c r="D2" s="2">
        <v>48</v>
      </c>
      <c r="E2" s="2">
        <v>7.8</v>
      </c>
      <c r="F2" s="2">
        <v>9.32</v>
      </c>
      <c r="G2" s="2">
        <f>0.08325/0.00668</f>
        <v>12.462574850299401</v>
      </c>
      <c r="H2" s="2" t="s">
        <v>9</v>
      </c>
      <c r="I2" s="2">
        <v>48</v>
      </c>
      <c r="J2" s="2">
        <v>2.9533</v>
      </c>
      <c r="K2" s="2">
        <v>45.741500000000002</v>
      </c>
      <c r="L2" s="3">
        <f>J2:J25/K2:K25</f>
        <v>6.4565001147754222E-2</v>
      </c>
      <c r="M2" s="3">
        <f>(L2:L25)^(1/3)</f>
        <v>0.40117363878656187</v>
      </c>
      <c r="N2" s="3">
        <f>1-((3/10)*(J2:J25/I2:I25)^2)-((3/2)*((J2:J25*E2)/(I2:I25)^2))</f>
        <v>0.98386709884244794</v>
      </c>
      <c r="O2" s="3">
        <f>1-(F2/I2:I25)^3-((9/8)*(1-(F2/I2:I25)^2)*((J2:J25*E2)/I2:I25^2))-((9/35)*(J2:J25/I2:I25)^2)</f>
        <v>0.98088248093175145</v>
      </c>
      <c r="P2" s="3">
        <f>N2:N25/O2:O25</f>
        <v>1.0030427884774344</v>
      </c>
      <c r="Q2" s="3">
        <f>L2:L25/O2:O25</f>
        <v>6.582338088699799E-2</v>
      </c>
      <c r="R2" s="3">
        <f>Q2:Q25^(1/3)</f>
        <v>0.40376319506148001</v>
      </c>
      <c r="S2" s="3">
        <f>I2:I25+G2</f>
        <v>60.462574850299404</v>
      </c>
      <c r="T2" s="3">
        <f>(P2:P25*3*K2:K25*J2:J25)/(2*24.82*S2:S25)</f>
        <v>0.13543791874442884</v>
      </c>
      <c r="U2" s="3">
        <f>T2:T25*1000</f>
        <v>135.43791874442886</v>
      </c>
      <c r="V2">
        <f>AVERAGE(U3:U16)</f>
        <v>132.46778606775044</v>
      </c>
    </row>
    <row r="3" spans="1:22">
      <c r="E3" s="1">
        <v>7.8</v>
      </c>
      <c r="F3" s="1">
        <v>9.32</v>
      </c>
      <c r="G3" s="1">
        <f t="shared" ref="G3:G16" si="0">0.08325/0.00668</f>
        <v>12.462574850299401</v>
      </c>
      <c r="I3" s="1">
        <v>49</v>
      </c>
      <c r="J3" s="1">
        <v>3.0853999999999999</v>
      </c>
      <c r="K3" s="1">
        <v>44.856499999999997</v>
      </c>
      <c r="L3">
        <f t="shared" ref="L3:L16" si="1">J3:J26/K3:K26</f>
        <v>6.8783788302698615E-2</v>
      </c>
      <c r="M3">
        <f t="shared" ref="M3:M16" si="2">(L3:L26)^(1/3)</f>
        <v>0.40972773576377025</v>
      </c>
      <c r="N3">
        <f t="shared" ref="N3:N16" si="3">1-((3/10)*(J3:J26/I3:I26)^2)-((3/2)*((J3:J26*E3)/(I3:I26)^2))</f>
        <v>0.98377547357434403</v>
      </c>
      <c r="O3">
        <f t="shared" ref="O3:O16" si="4">1-(F3/I3:I26)^3-((9/8)*(1-(F3/I3:I26)^2)*((J3:J26*E3)/I3:I26^2))-((9/35)*(J3:J26/I3:I26)^2)</f>
        <v>0.98123098581991641</v>
      </c>
      <c r="P3">
        <f t="shared" ref="P3:P16" si="5">N3:N26/O3:O26</f>
        <v>1.0025931587885002</v>
      </c>
      <c r="Q3">
        <f t="shared" ref="Q3:Q16" si="6">L3:L26/O3:O26</f>
        <v>7.0099486559959068E-2</v>
      </c>
      <c r="R3">
        <f t="shared" ref="R3:R16" si="7">Q3:Q26^(1/3)</f>
        <v>0.41232368160405858</v>
      </c>
      <c r="S3">
        <f t="shared" ref="S3:S16" si="8">I3:I26+G3</f>
        <v>61.462574850299404</v>
      </c>
      <c r="T3">
        <f t="shared" ref="T3:T16" si="9">(P3:P26*3*K3:K26*J3:J26)/(2*24.82*S3:S26)</f>
        <v>0.13643956553408124</v>
      </c>
      <c r="U3">
        <f t="shared" ref="U3:U16" si="10">T3:T26*1000</f>
        <v>136.43956553408123</v>
      </c>
    </row>
    <row r="4" spans="1:22">
      <c r="E4" s="1">
        <v>7.8</v>
      </c>
      <c r="F4" s="1">
        <v>9.32</v>
      </c>
      <c r="G4" s="1">
        <f t="shared" si="0"/>
        <v>12.462574850299401</v>
      </c>
      <c r="I4" s="1">
        <v>50</v>
      </c>
      <c r="J4" s="1">
        <v>3.1562000000000001</v>
      </c>
      <c r="K4" s="1">
        <v>43.6708</v>
      </c>
      <c r="L4">
        <f t="shared" si="1"/>
        <v>7.2272548247341473E-2</v>
      </c>
      <c r="M4">
        <f t="shared" si="2"/>
        <v>0.41654103253503671</v>
      </c>
      <c r="N4">
        <f t="shared" si="3"/>
        <v>0.98403359218719999</v>
      </c>
      <c r="O4">
        <f t="shared" si="4"/>
        <v>0.98180556967223098</v>
      </c>
      <c r="P4">
        <f t="shared" si="5"/>
        <v>1.0022693113420744</v>
      </c>
      <c r="Q4">
        <f t="shared" si="6"/>
        <v>7.3611874366804789E-2</v>
      </c>
      <c r="R4">
        <f t="shared" si="7"/>
        <v>0.41909835746624624</v>
      </c>
      <c r="S4">
        <f t="shared" si="8"/>
        <v>62.462574850299404</v>
      </c>
      <c r="T4">
        <f t="shared" si="9"/>
        <v>0.13366253548144674</v>
      </c>
      <c r="U4">
        <f t="shared" si="10"/>
        <v>133.66253548144675</v>
      </c>
    </row>
    <row r="5" spans="1:22">
      <c r="E5" s="1">
        <v>7.8</v>
      </c>
      <c r="F5" s="1">
        <v>9.32</v>
      </c>
      <c r="G5" s="1">
        <f t="shared" si="0"/>
        <v>12.462574850299401</v>
      </c>
      <c r="I5" s="1">
        <v>51</v>
      </c>
      <c r="J5" s="1">
        <v>3.2221000000000002</v>
      </c>
      <c r="K5" s="1">
        <v>43.110799999999998</v>
      </c>
      <c r="L5">
        <f t="shared" si="1"/>
        <v>7.4739972350315945E-2</v>
      </c>
      <c r="M5">
        <f t="shared" si="2"/>
        <v>0.42122839984752181</v>
      </c>
      <c r="N5">
        <f t="shared" si="3"/>
        <v>0.98430867031026525</v>
      </c>
      <c r="O5">
        <f t="shared" si="4"/>
        <v>0.98236331624994466</v>
      </c>
      <c r="P5">
        <f t="shared" si="5"/>
        <v>1.0019802796258179</v>
      </c>
      <c r="Q5">
        <f t="shared" si="6"/>
        <v>7.6081803049839969E-2</v>
      </c>
      <c r="R5">
        <f t="shared" si="7"/>
        <v>0.42373427905784677</v>
      </c>
      <c r="S5">
        <f t="shared" si="8"/>
        <v>63.462574850299404</v>
      </c>
      <c r="T5">
        <f t="shared" si="9"/>
        <v>0.13254277661735459</v>
      </c>
      <c r="U5">
        <f t="shared" si="10"/>
        <v>132.54277661735458</v>
      </c>
    </row>
    <row r="6" spans="1:22">
      <c r="E6" s="1">
        <v>7.8</v>
      </c>
      <c r="F6" s="1">
        <v>9.32</v>
      </c>
      <c r="G6" s="1">
        <f t="shared" si="0"/>
        <v>12.462574850299401</v>
      </c>
      <c r="I6" s="1">
        <v>52</v>
      </c>
      <c r="J6" s="1">
        <v>3.3193000000000001</v>
      </c>
      <c r="K6" s="1">
        <v>42.221600000000002</v>
      </c>
      <c r="L6">
        <f t="shared" si="1"/>
        <v>7.861615855391553E-2</v>
      </c>
      <c r="M6">
        <f t="shared" si="2"/>
        <v>0.42838797642535698</v>
      </c>
      <c r="N6">
        <f t="shared" si="3"/>
        <v>0.98441526044859473</v>
      </c>
      <c r="O6">
        <f t="shared" si="4"/>
        <v>0.98276895447301205</v>
      </c>
      <c r="P6">
        <f t="shared" si="5"/>
        <v>1.0016751709220053</v>
      </c>
      <c r="Q6">
        <f t="shared" si="6"/>
        <v>7.9994548256839978E-2</v>
      </c>
      <c r="R6">
        <f t="shared" si="7"/>
        <v>0.43087714993021048</v>
      </c>
      <c r="S6">
        <f t="shared" si="8"/>
        <v>64.462574850299404</v>
      </c>
      <c r="T6">
        <f t="shared" si="9"/>
        <v>0.1316103169294196</v>
      </c>
      <c r="U6">
        <f t="shared" si="10"/>
        <v>131.61031692941961</v>
      </c>
    </row>
    <row r="7" spans="1:22">
      <c r="E7" s="1">
        <v>7.8</v>
      </c>
      <c r="F7" s="1">
        <v>9.32</v>
      </c>
      <c r="G7" s="1">
        <f t="shared" si="0"/>
        <v>12.462574850299401</v>
      </c>
      <c r="I7" s="1">
        <v>53</v>
      </c>
      <c r="J7" s="1">
        <v>3.4131</v>
      </c>
      <c r="K7" s="1">
        <v>41.958100000000002</v>
      </c>
      <c r="L7">
        <f t="shared" si="1"/>
        <v>8.134543747214483E-2</v>
      </c>
      <c r="M7">
        <f t="shared" si="2"/>
        <v>0.43328906922935173</v>
      </c>
      <c r="N7">
        <f t="shared" si="3"/>
        <v>0.98453967764934136</v>
      </c>
      <c r="O7">
        <f t="shared" si="4"/>
        <v>0.98316340109326072</v>
      </c>
      <c r="P7">
        <f t="shared" si="5"/>
        <v>1.0013998451880433</v>
      </c>
      <c r="Q7">
        <f t="shared" si="6"/>
        <v>8.2738471938326938E-2</v>
      </c>
      <c r="R7">
        <f t="shared" si="7"/>
        <v>0.43574843092411569</v>
      </c>
      <c r="S7">
        <f t="shared" si="8"/>
        <v>65.462574850299404</v>
      </c>
      <c r="T7">
        <f t="shared" si="9"/>
        <v>0.132394134496296</v>
      </c>
      <c r="U7">
        <f t="shared" si="10"/>
        <v>132.394134496296</v>
      </c>
    </row>
    <row r="8" spans="1:22">
      <c r="E8" s="1">
        <v>7.8</v>
      </c>
      <c r="F8" s="1">
        <v>9.32</v>
      </c>
      <c r="G8" s="1">
        <f t="shared" si="0"/>
        <v>12.462574850299401</v>
      </c>
      <c r="I8" s="1">
        <v>54</v>
      </c>
      <c r="J8" s="1">
        <v>3.5333999999999999</v>
      </c>
      <c r="K8" s="1">
        <v>41.6616</v>
      </c>
      <c r="L8">
        <f t="shared" si="1"/>
        <v>8.4811913128636437E-2</v>
      </c>
      <c r="M8">
        <f t="shared" si="2"/>
        <v>0.43935841950244725</v>
      </c>
      <c r="N8">
        <f t="shared" si="3"/>
        <v>0.98453832144444453</v>
      </c>
      <c r="O8">
        <f t="shared" si="4"/>
        <v>0.98344163305472099</v>
      </c>
      <c r="P8">
        <f t="shared" si="5"/>
        <v>1.001115153510755</v>
      </c>
      <c r="Q8">
        <f t="shared" si="6"/>
        <v>8.623990512298893E-2</v>
      </c>
      <c r="R8">
        <f t="shared" si="7"/>
        <v>0.44181055797029295</v>
      </c>
      <c r="S8">
        <f t="shared" si="8"/>
        <v>66.462574850299404</v>
      </c>
      <c r="T8">
        <f t="shared" si="9"/>
        <v>0.13400626544448527</v>
      </c>
      <c r="U8">
        <f t="shared" si="10"/>
        <v>134.00626544448528</v>
      </c>
    </row>
    <row r="9" spans="1:22">
      <c r="E9" s="1">
        <v>7.8</v>
      </c>
      <c r="F9" s="1">
        <v>9.32</v>
      </c>
      <c r="G9" s="1">
        <f t="shared" si="0"/>
        <v>12.462574850299401</v>
      </c>
      <c r="I9" s="1">
        <v>55</v>
      </c>
      <c r="J9" s="1">
        <v>3.6421000000000001</v>
      </c>
      <c r="K9" s="1">
        <v>40.442999999999998</v>
      </c>
      <c r="L9">
        <f t="shared" si="1"/>
        <v>9.0055139331899223E-2</v>
      </c>
      <c r="M9">
        <f t="shared" si="2"/>
        <v>0.44823197510676266</v>
      </c>
      <c r="N9">
        <f t="shared" si="3"/>
        <v>0.98459767348000005</v>
      </c>
      <c r="O9">
        <f t="shared" si="4"/>
        <v>0.98374482036335509</v>
      </c>
      <c r="P9">
        <f t="shared" si="5"/>
        <v>1.0008669454710115</v>
      </c>
      <c r="Q9">
        <f t="shared" si="6"/>
        <v>9.1543190335311289E-2</v>
      </c>
      <c r="R9">
        <f t="shared" si="7"/>
        <v>0.45068732879411799</v>
      </c>
      <c r="S9">
        <f t="shared" si="8"/>
        <v>67.462574850299404</v>
      </c>
      <c r="T9">
        <f t="shared" si="9"/>
        <v>0.13206816535462201</v>
      </c>
      <c r="U9">
        <f t="shared" si="10"/>
        <v>132.06816535462201</v>
      </c>
    </row>
    <row r="10" spans="1:22">
      <c r="E10" s="1">
        <v>7.8</v>
      </c>
      <c r="F10" s="1">
        <v>9.32</v>
      </c>
      <c r="G10" s="1">
        <f t="shared" si="0"/>
        <v>12.462574850299401</v>
      </c>
      <c r="I10" s="1">
        <v>60</v>
      </c>
      <c r="J10" s="1">
        <v>4.2152000000000003</v>
      </c>
      <c r="K10" s="1">
        <v>37.182299999999998</v>
      </c>
      <c r="L10">
        <f t="shared" si="1"/>
        <v>0.11336576812085322</v>
      </c>
      <c r="M10">
        <f t="shared" si="2"/>
        <v>0.48397988458970675</v>
      </c>
      <c r="N10">
        <f t="shared" si="3"/>
        <v>0.98481994074666668</v>
      </c>
      <c r="O10">
        <f t="shared" si="4"/>
        <v>0.98495627070230585</v>
      </c>
      <c r="P10">
        <f t="shared" si="5"/>
        <v>0.99986158780882528</v>
      </c>
      <c r="Q10">
        <f t="shared" si="6"/>
        <v>0.1150972601453867</v>
      </c>
      <c r="R10">
        <f t="shared" si="7"/>
        <v>0.48643146742218618</v>
      </c>
      <c r="S10">
        <f t="shared" si="8"/>
        <v>72.462574850299404</v>
      </c>
      <c r="T10">
        <f t="shared" si="9"/>
        <v>0.13069833055390961</v>
      </c>
      <c r="U10">
        <f t="shared" si="10"/>
        <v>130.69833055390961</v>
      </c>
    </row>
    <row r="11" spans="1:22">
      <c r="E11" s="1">
        <v>7.8</v>
      </c>
      <c r="F11" s="1">
        <v>9.32</v>
      </c>
      <c r="G11" s="1">
        <f t="shared" si="0"/>
        <v>12.462574850299401</v>
      </c>
      <c r="I11" s="1">
        <v>65</v>
      </c>
      <c r="J11" s="1">
        <v>4.7323000000000004</v>
      </c>
      <c r="K11" s="1">
        <v>35.008499999999998</v>
      </c>
      <c r="L11">
        <f t="shared" si="1"/>
        <v>0.13517574303383467</v>
      </c>
      <c r="M11">
        <f t="shared" si="2"/>
        <v>0.51321529218878048</v>
      </c>
      <c r="N11">
        <f t="shared" si="3"/>
        <v>0.98530501562437867</v>
      </c>
      <c r="O11">
        <f t="shared" si="4"/>
        <v>0.98606259071494196</v>
      </c>
      <c r="P11">
        <f t="shared" si="5"/>
        <v>0.99923171703531111</v>
      </c>
      <c r="Q11">
        <f t="shared" si="6"/>
        <v>0.13708637190649922</v>
      </c>
      <c r="R11">
        <f t="shared" si="7"/>
        <v>0.51562198630899148</v>
      </c>
      <c r="S11">
        <f t="shared" si="8"/>
        <v>77.462574850299404</v>
      </c>
      <c r="T11">
        <f t="shared" si="9"/>
        <v>0.12915449790209654</v>
      </c>
      <c r="U11">
        <f t="shared" si="10"/>
        <v>129.15449790209655</v>
      </c>
    </row>
    <row r="12" spans="1:22">
      <c r="E12" s="1">
        <v>7.8</v>
      </c>
      <c r="F12" s="1">
        <v>9.32</v>
      </c>
      <c r="G12" s="1">
        <f t="shared" si="0"/>
        <v>12.462574850299401</v>
      </c>
      <c r="I12" s="1">
        <v>70</v>
      </c>
      <c r="J12" s="1">
        <v>5.3827999999999996</v>
      </c>
      <c r="K12" s="1">
        <v>33.5593</v>
      </c>
      <c r="L12">
        <f t="shared" si="1"/>
        <v>0.16039667096751123</v>
      </c>
      <c r="M12">
        <f t="shared" si="2"/>
        <v>0.54333179085141381</v>
      </c>
      <c r="N12">
        <f t="shared" si="3"/>
        <v>0.98537324066285714</v>
      </c>
      <c r="O12">
        <f t="shared" si="4"/>
        <v>0.98665051964862849</v>
      </c>
      <c r="P12">
        <f t="shared" si="5"/>
        <v>0.99870543930162203</v>
      </c>
      <c r="Q12">
        <f t="shared" si="6"/>
        <v>0.16256685399064361</v>
      </c>
      <c r="R12">
        <f t="shared" si="7"/>
        <v>0.54577126611092586</v>
      </c>
      <c r="S12">
        <f t="shared" si="8"/>
        <v>82.462574850299404</v>
      </c>
      <c r="T12">
        <f t="shared" si="9"/>
        <v>0.13221817034002506</v>
      </c>
      <c r="U12">
        <f t="shared" si="10"/>
        <v>132.21817034002507</v>
      </c>
    </row>
    <row r="13" spans="1:22">
      <c r="E13" s="1">
        <v>7.8</v>
      </c>
      <c r="F13" s="1">
        <v>9.32</v>
      </c>
      <c r="G13" s="1">
        <f t="shared" si="0"/>
        <v>12.462574850299401</v>
      </c>
      <c r="I13" s="1">
        <v>75</v>
      </c>
      <c r="J13" s="1">
        <v>6.2458</v>
      </c>
      <c r="K13" s="1">
        <v>30.990200000000002</v>
      </c>
      <c r="L13">
        <f t="shared" si="1"/>
        <v>0.20154113235797122</v>
      </c>
      <c r="M13">
        <f t="shared" si="2"/>
        <v>0.58630180530206011</v>
      </c>
      <c r="N13">
        <f t="shared" si="3"/>
        <v>0.9849282017258667</v>
      </c>
      <c r="O13">
        <f t="shared" si="4"/>
        <v>0.98670474595159929</v>
      </c>
      <c r="P13">
        <f t="shared" si="5"/>
        <v>0.99819951790743722</v>
      </c>
      <c r="Q13">
        <f t="shared" si="6"/>
        <v>0.20425677811410609</v>
      </c>
      <c r="R13">
        <f t="shared" si="7"/>
        <v>0.58892342036764334</v>
      </c>
      <c r="S13">
        <f t="shared" si="8"/>
        <v>87.462574850299404</v>
      </c>
      <c r="T13">
        <f t="shared" si="9"/>
        <v>0.1335048464080586</v>
      </c>
      <c r="U13">
        <f t="shared" si="10"/>
        <v>133.5048464080586</v>
      </c>
    </row>
    <row r="14" spans="1:22">
      <c r="E14" s="1">
        <v>7.8</v>
      </c>
      <c r="F14" s="1">
        <v>9.32</v>
      </c>
      <c r="G14" s="1">
        <f t="shared" si="0"/>
        <v>12.462574850299401</v>
      </c>
      <c r="I14" s="1">
        <v>80</v>
      </c>
      <c r="J14" s="1">
        <v>6.8749000000000002</v>
      </c>
      <c r="K14" s="1">
        <v>30.133900000000001</v>
      </c>
      <c r="L14">
        <f t="shared" si="1"/>
        <v>0.22814504594493246</v>
      </c>
      <c r="M14">
        <f t="shared" si="2"/>
        <v>0.61104099409041079</v>
      </c>
      <c r="N14">
        <f t="shared" si="3"/>
        <v>0.98521631171828128</v>
      </c>
      <c r="O14">
        <f t="shared" si="4"/>
        <v>0.98722162423384308</v>
      </c>
      <c r="P14">
        <f t="shared" si="5"/>
        <v>0.99796873116802109</v>
      </c>
      <c r="Q14">
        <f t="shared" si="6"/>
        <v>0.23109810436130779</v>
      </c>
      <c r="R14">
        <f t="shared" si="7"/>
        <v>0.61366609285564777</v>
      </c>
      <c r="S14">
        <f t="shared" si="8"/>
        <v>92.462574850299404</v>
      </c>
      <c r="T14">
        <f t="shared" si="9"/>
        <v>0.13513323100075544</v>
      </c>
      <c r="U14">
        <f t="shared" si="10"/>
        <v>135.13323100075544</v>
      </c>
    </row>
    <row r="15" spans="1:22">
      <c r="E15" s="1">
        <v>7.8</v>
      </c>
      <c r="F15" s="1">
        <v>9.32</v>
      </c>
      <c r="G15" s="1">
        <f t="shared" si="0"/>
        <v>12.462574850299401</v>
      </c>
      <c r="I15" s="1">
        <v>85</v>
      </c>
      <c r="J15" s="1">
        <v>7.6078999999999999</v>
      </c>
      <c r="K15" s="1">
        <v>27.828299999999999</v>
      </c>
      <c r="L15">
        <f t="shared" si="1"/>
        <v>0.27338716342715869</v>
      </c>
      <c r="M15">
        <f t="shared" si="2"/>
        <v>0.64902193211839987</v>
      </c>
      <c r="N15">
        <f t="shared" si="3"/>
        <v>0.98527661277190315</v>
      </c>
      <c r="O15">
        <f t="shared" si="4"/>
        <v>0.98749281911138442</v>
      </c>
      <c r="P15">
        <f t="shared" si="5"/>
        <v>0.99775572409582125</v>
      </c>
      <c r="Q15">
        <f t="shared" si="6"/>
        <v>0.27684977362485702</v>
      </c>
      <c r="R15">
        <f t="shared" si="7"/>
        <v>0.65175052685547163</v>
      </c>
      <c r="S15">
        <f t="shared" si="8"/>
        <v>97.462574850299404</v>
      </c>
      <c r="T15">
        <f t="shared" si="9"/>
        <v>0.13098673024516325</v>
      </c>
      <c r="U15">
        <f t="shared" si="10"/>
        <v>130.98673024516324</v>
      </c>
    </row>
    <row r="16" spans="1:22">
      <c r="E16" s="1">
        <v>7.8</v>
      </c>
      <c r="F16" s="1">
        <v>9.32</v>
      </c>
      <c r="G16" s="1">
        <f t="shared" si="0"/>
        <v>12.462574850299401</v>
      </c>
      <c r="I16" s="1">
        <v>90</v>
      </c>
      <c r="J16" s="1">
        <v>8.4048999999999996</v>
      </c>
      <c r="K16" s="1">
        <v>26.313199999999998</v>
      </c>
      <c r="L16">
        <f t="shared" si="1"/>
        <v>0.3194176306948604</v>
      </c>
      <c r="M16">
        <f t="shared" si="2"/>
        <v>0.68357519441026982</v>
      </c>
      <c r="N16">
        <f t="shared" si="3"/>
        <v>0.98524320577740743</v>
      </c>
      <c r="O16">
        <f t="shared" si="4"/>
        <v>0.98763921644094865</v>
      </c>
      <c r="P16">
        <f t="shared" si="5"/>
        <v>0.99757400210152092</v>
      </c>
      <c r="Q16">
        <f t="shared" si="6"/>
        <v>0.32341529718302603</v>
      </c>
      <c r="R16">
        <f t="shared" si="7"/>
        <v>0.68641513770988616</v>
      </c>
      <c r="S16">
        <f t="shared" si="8"/>
        <v>102.4625748502994</v>
      </c>
      <c r="T16">
        <f t="shared" si="9"/>
        <v>0.1301294386407921</v>
      </c>
      <c r="U16">
        <f t="shared" si="10"/>
        <v>130.1294386407921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A9D2-F923-4989-8D71-76E8ADAC44F8}">
  <dimension ref="A1:V16"/>
  <sheetViews>
    <sheetView topLeftCell="P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33</v>
      </c>
      <c r="B2" s="2">
        <v>3.8370000000000002</v>
      </c>
      <c r="C2" s="2">
        <v>24.856999999999999</v>
      </c>
      <c r="D2" s="2">
        <v>48</v>
      </c>
      <c r="E2" s="2">
        <v>8.2530000000000001</v>
      </c>
      <c r="F2" s="2">
        <v>9.09</v>
      </c>
      <c r="G2" s="2">
        <f>0.06159/0.00706</f>
        <v>8.7237960339943346</v>
      </c>
      <c r="H2" s="2" t="s">
        <v>9</v>
      </c>
      <c r="I2" s="2">
        <v>48</v>
      </c>
      <c r="J2" s="2">
        <v>2.7745000000000002</v>
      </c>
      <c r="K2" s="2">
        <v>43.217300000000002</v>
      </c>
      <c r="L2" s="3">
        <f>J2:J25/K2:K25</f>
        <v>6.4198827784243809E-2</v>
      </c>
      <c r="M2" s="3">
        <f>(L2:L25)^(1/3)</f>
        <v>0.40041379633438112</v>
      </c>
      <c r="N2" s="3">
        <f>1-((3/10)*(J2:J25/I2:I25)^2)-((3/2)*((J2:J25*E2)/(I2:I25)^2))</f>
        <v>0.98409015719401038</v>
      </c>
      <c r="O2" s="3">
        <f>1-(F2/I2:I25)^3-((9/8)*(1-(F2/I2:I25)^2)*((J2:J25*E2)/I2:I25^2))-((9/35)*(J2:J25/I2:I25)^2)</f>
        <v>0.98156966112989308</v>
      </c>
      <c r="P2" s="3">
        <f>N2:N25/O2:O25</f>
        <v>1.0025678218917402</v>
      </c>
      <c r="Q2" s="3">
        <f>L2:L25/O2:O25</f>
        <v>6.5404250280457932E-2</v>
      </c>
      <c r="R2" s="3">
        <f>Q2:Q25^(1/3)</f>
        <v>0.40290438179254573</v>
      </c>
      <c r="S2" s="3">
        <f>I2:I25+G2</f>
        <v>56.723796033994333</v>
      </c>
      <c r="T2" s="3">
        <f>(P2:P25*3*K2:K25*J2:J25)/(2*24.857*S2:S25)</f>
        <v>0.1278890559580308</v>
      </c>
      <c r="U2" s="3">
        <f>T2:T25*1000</f>
        <v>127.8890559580308</v>
      </c>
      <c r="V2">
        <f>AVERAGE(U3:U16)</f>
        <v>129.01418672740618</v>
      </c>
    </row>
    <row r="3" spans="1:22">
      <c r="E3" s="1">
        <v>8.2530000000000001</v>
      </c>
      <c r="F3" s="1">
        <v>9.09</v>
      </c>
      <c r="G3" s="1">
        <f t="shared" ref="G3:G16" si="0">0.06159/0.00706</f>
        <v>8.7237960339943346</v>
      </c>
      <c r="I3" s="1">
        <v>49</v>
      </c>
      <c r="J3" s="1">
        <v>2.6029</v>
      </c>
      <c r="K3" s="1">
        <v>39.202199999999998</v>
      </c>
      <c r="L3">
        <f t="shared" ref="L3:L16" si="1">J3:J26/K3:K26</f>
        <v>6.6396783853967384E-2</v>
      </c>
      <c r="M3">
        <f t="shared" ref="M3:M16" si="2">(L3:L26)^(1/3)</f>
        <v>0.40493223243298315</v>
      </c>
      <c r="N3">
        <f t="shared" ref="N3:N16" si="3">1-((3/10)*(J3:J26/I3:I26)^2)-((3/2)*((J3:J26*E3)/(I3:I26)^2))</f>
        <v>0.98573297498000834</v>
      </c>
      <c r="O3">
        <f t="shared" ref="O3:O16" si="4">1-(F3/I3:I26)^3-((9/8)*(1-(F3/I3:I26)^2)*((J3:J26*E3)/I3:I26^2))-((9/35)*(J3:J26/I3:I26)^2)</f>
        <v>0.98317126638883678</v>
      </c>
      <c r="P3">
        <f t="shared" ref="P3:P16" si="5">N3:N26/O3:O26</f>
        <v>1.0026055568126808</v>
      </c>
      <c r="Q3">
        <f t="shared" ref="Q3:Q16" si="6">L3:L26/O3:O26</f>
        <v>6.7533283491736998E-2</v>
      </c>
      <c r="R3">
        <f t="shared" ref="R3:R16" si="7">Q3:Q26^(1/3)</f>
        <v>0.40722955393439325</v>
      </c>
      <c r="S3">
        <f t="shared" ref="S3:S16" si="8">I3:I26+G3</f>
        <v>57.723796033994333</v>
      </c>
      <c r="T3">
        <f t="shared" ref="T3:T16" si="9">(P3:P26*3*K3:K26*J3:J26)/(2*24.857*S3:S26)</f>
        <v>0.10695120794463796</v>
      </c>
      <c r="U3">
        <f t="shared" ref="U3:U16" si="10">T3:T26*1000</f>
        <v>106.95120794463796</v>
      </c>
    </row>
    <row r="4" spans="1:22">
      <c r="E4" s="1">
        <v>8.2530000000000001</v>
      </c>
      <c r="F4" s="1">
        <v>9.09</v>
      </c>
      <c r="G4" s="1">
        <f t="shared" si="0"/>
        <v>8.7237960339943346</v>
      </c>
      <c r="I4" s="1">
        <v>50</v>
      </c>
      <c r="J4" s="1">
        <v>3.0162</v>
      </c>
      <c r="K4" s="1">
        <v>41.988700000000001</v>
      </c>
      <c r="L4">
        <f t="shared" si="1"/>
        <v>7.1833612376663247E-2</v>
      </c>
      <c r="M4">
        <f t="shared" si="2"/>
        <v>0.41569605428447282</v>
      </c>
      <c r="N4">
        <f t="shared" si="3"/>
        <v>0.98397268534720006</v>
      </c>
      <c r="O4">
        <f t="shared" si="4"/>
        <v>0.98222406175422572</v>
      </c>
      <c r="P4">
        <f t="shared" si="5"/>
        <v>1.0017802695546385</v>
      </c>
      <c r="Q4">
        <f t="shared" si="6"/>
        <v>7.3133631290166479E-2</v>
      </c>
      <c r="R4">
        <f t="shared" si="7"/>
        <v>0.41818878267488524</v>
      </c>
      <c r="S4">
        <f t="shared" si="8"/>
        <v>58.723796033994333</v>
      </c>
      <c r="T4">
        <f t="shared" si="9"/>
        <v>0.13037474242395483</v>
      </c>
      <c r="U4">
        <f t="shared" si="10"/>
        <v>130.37474242395484</v>
      </c>
    </row>
    <row r="5" spans="1:22">
      <c r="E5" s="1">
        <v>8.2530000000000001</v>
      </c>
      <c r="F5" s="1">
        <v>9.09</v>
      </c>
      <c r="G5" s="1">
        <f t="shared" si="0"/>
        <v>8.7237960339943346</v>
      </c>
      <c r="I5" s="1">
        <v>51</v>
      </c>
      <c r="J5" s="1">
        <v>3.0920000000000001</v>
      </c>
      <c r="K5" s="1">
        <v>40.862200000000001</v>
      </c>
      <c r="L5">
        <f t="shared" si="1"/>
        <v>7.5668955660732895E-2</v>
      </c>
      <c r="M5">
        <f t="shared" si="2"/>
        <v>0.4229664433598721</v>
      </c>
      <c r="N5">
        <f t="shared" si="3"/>
        <v>0.98418087151095723</v>
      </c>
      <c r="O5">
        <f t="shared" si="4"/>
        <v>0.98270599125953328</v>
      </c>
      <c r="P5">
        <f t="shared" si="5"/>
        <v>1.0015008357174393</v>
      </c>
      <c r="Q5">
        <f t="shared" si="6"/>
        <v>7.7000604793045033E-2</v>
      </c>
      <c r="R5">
        <f t="shared" si="7"/>
        <v>0.42543320035432924</v>
      </c>
      <c r="S5">
        <f t="shared" si="8"/>
        <v>59.723796033994333</v>
      </c>
      <c r="T5">
        <f t="shared" si="9"/>
        <v>0.1278520481049176</v>
      </c>
      <c r="U5">
        <f t="shared" si="10"/>
        <v>127.8520481049176</v>
      </c>
    </row>
    <row r="6" spans="1:22">
      <c r="E6" s="1">
        <v>8.2530000000000001</v>
      </c>
      <c r="F6" s="1">
        <v>9.09</v>
      </c>
      <c r="G6" s="1">
        <f t="shared" si="0"/>
        <v>8.7237960339943346</v>
      </c>
      <c r="I6" s="1">
        <v>52</v>
      </c>
      <c r="J6" s="1">
        <v>3.1661000000000001</v>
      </c>
      <c r="K6" s="1">
        <v>40.921500000000002</v>
      </c>
      <c r="L6">
        <f t="shared" si="1"/>
        <v>7.7370086629278009E-2</v>
      </c>
      <c r="M6">
        <f t="shared" si="2"/>
        <v>0.42611258500428195</v>
      </c>
      <c r="N6">
        <f t="shared" si="3"/>
        <v>0.98439275454400887</v>
      </c>
      <c r="O6">
        <f t="shared" si="4"/>
        <v>0.98316588359019075</v>
      </c>
      <c r="P6">
        <f t="shared" si="5"/>
        <v>1.0012478778752349</v>
      </c>
      <c r="Q6">
        <f t="shared" si="6"/>
        <v>7.8694844807621386E-2</v>
      </c>
      <c r="R6">
        <f t="shared" si="7"/>
        <v>0.42853085207911024</v>
      </c>
      <c r="S6">
        <f t="shared" si="8"/>
        <v>60.723796033994333</v>
      </c>
      <c r="T6">
        <f t="shared" si="9"/>
        <v>0.12891439503444693</v>
      </c>
      <c r="U6">
        <f t="shared" si="10"/>
        <v>128.91439503444693</v>
      </c>
    </row>
    <row r="7" spans="1:22">
      <c r="E7" s="1">
        <v>8.2530000000000001</v>
      </c>
      <c r="F7" s="1">
        <v>9.09</v>
      </c>
      <c r="G7" s="1">
        <f t="shared" si="0"/>
        <v>8.7237960339943346</v>
      </c>
      <c r="I7" s="1">
        <v>53</v>
      </c>
      <c r="J7" s="1">
        <v>3.2534000000000001</v>
      </c>
      <c r="K7" s="1">
        <v>40.6053</v>
      </c>
      <c r="L7">
        <f t="shared" si="1"/>
        <v>8.01225455790254E-2</v>
      </c>
      <c r="M7">
        <f t="shared" si="2"/>
        <v>0.43110683946690531</v>
      </c>
      <c r="N7">
        <f t="shared" si="3"/>
        <v>0.98453155971235318</v>
      </c>
      <c r="O7">
        <f t="shared" si="4"/>
        <v>0.9835488383388119</v>
      </c>
      <c r="P7">
        <f t="shared" si="5"/>
        <v>1.0009991586947538</v>
      </c>
      <c r="Q7">
        <f t="shared" si="6"/>
        <v>8.146270165328065E-2</v>
      </c>
      <c r="R7">
        <f t="shared" si="7"/>
        <v>0.43349717306472518</v>
      </c>
      <c r="S7">
        <f t="shared" si="8"/>
        <v>61.723796033994333</v>
      </c>
      <c r="T7">
        <f t="shared" si="9"/>
        <v>0.12928371333177333</v>
      </c>
      <c r="U7">
        <f t="shared" si="10"/>
        <v>129.28371333177333</v>
      </c>
    </row>
    <row r="8" spans="1:22">
      <c r="E8" s="1">
        <v>8.2530000000000001</v>
      </c>
      <c r="F8" s="1">
        <v>9.09</v>
      </c>
      <c r="G8" s="1">
        <f t="shared" si="0"/>
        <v>8.7237960339943346</v>
      </c>
      <c r="I8" s="1">
        <v>54</v>
      </c>
      <c r="J8" s="1">
        <v>3.3654000000000002</v>
      </c>
      <c r="K8" s="1">
        <v>39.5974</v>
      </c>
      <c r="L8">
        <f t="shared" si="1"/>
        <v>8.4990428664508275E-2</v>
      </c>
      <c r="M8">
        <f t="shared" si="2"/>
        <v>0.4396664632504918</v>
      </c>
      <c r="N8">
        <f t="shared" si="3"/>
        <v>0.98454741274074076</v>
      </c>
      <c r="O8">
        <f t="shared" si="4"/>
        <v>0.98381943911869296</v>
      </c>
      <c r="P8">
        <f t="shared" si="5"/>
        <v>1.0007399463693256</v>
      </c>
      <c r="Q8">
        <f t="shared" si="6"/>
        <v>8.6388238822199773E-2</v>
      </c>
      <c r="R8">
        <f t="shared" si="7"/>
        <v>0.44206371941293204</v>
      </c>
      <c r="S8">
        <f t="shared" si="8"/>
        <v>62.723796033994333</v>
      </c>
      <c r="T8">
        <f t="shared" si="9"/>
        <v>0.12830240869910561</v>
      </c>
      <c r="U8">
        <f t="shared" si="10"/>
        <v>128.30240869910563</v>
      </c>
    </row>
    <row r="9" spans="1:22">
      <c r="E9" s="1">
        <v>8.2530000000000001</v>
      </c>
      <c r="F9" s="1">
        <v>9.09</v>
      </c>
      <c r="G9" s="1">
        <f t="shared" si="0"/>
        <v>8.7237960339943346</v>
      </c>
      <c r="I9" s="1">
        <v>55</v>
      </c>
      <c r="J9" s="1">
        <v>3.4477000000000002</v>
      </c>
      <c r="K9" s="1">
        <v>39.854300000000002</v>
      </c>
      <c r="L9">
        <f t="shared" si="1"/>
        <v>8.6507603947378331E-2</v>
      </c>
      <c r="M9">
        <f t="shared" si="2"/>
        <v>0.44226722978014943</v>
      </c>
      <c r="N9">
        <f t="shared" si="3"/>
        <v>0.98471180405388425</v>
      </c>
      <c r="O9">
        <f t="shared" si="4"/>
        <v>0.98418216051399998</v>
      </c>
      <c r="P9">
        <f t="shared" si="5"/>
        <v>1.0005381560051929</v>
      </c>
      <c r="Q9">
        <f t="shared" si="6"/>
        <v>8.7897959766105468E-2</v>
      </c>
      <c r="R9">
        <f t="shared" si="7"/>
        <v>0.44462403082647112</v>
      </c>
      <c r="S9">
        <f t="shared" si="8"/>
        <v>63.723796033994333</v>
      </c>
      <c r="T9">
        <f t="shared" si="9"/>
        <v>0.13019047683417695</v>
      </c>
      <c r="U9">
        <f t="shared" si="10"/>
        <v>130.19047683417696</v>
      </c>
    </row>
    <row r="10" spans="1:22">
      <c r="E10" s="1">
        <v>8.2530000000000001</v>
      </c>
      <c r="F10" s="1">
        <v>9.09</v>
      </c>
      <c r="G10" s="1">
        <f t="shared" si="0"/>
        <v>8.7237960339943346</v>
      </c>
      <c r="I10" s="1">
        <v>60</v>
      </c>
      <c r="J10" s="1">
        <v>4.1261999999999999</v>
      </c>
      <c r="K10" s="1">
        <v>36.079700000000003</v>
      </c>
      <c r="L10">
        <f t="shared" si="1"/>
        <v>0.11436347863202853</v>
      </c>
      <c r="M10">
        <f t="shared" si="2"/>
        <v>0.48539554458831596</v>
      </c>
      <c r="N10">
        <f t="shared" si="3"/>
        <v>0.98439223588000002</v>
      </c>
      <c r="O10">
        <f t="shared" si="4"/>
        <v>0.98490914900038695</v>
      </c>
      <c r="P10">
        <f t="shared" si="5"/>
        <v>0.99947516669845993</v>
      </c>
      <c r="Q10">
        <f t="shared" si="6"/>
        <v>0.1161157643302424</v>
      </c>
      <c r="R10">
        <f t="shared" si="7"/>
        <v>0.48786207852415597</v>
      </c>
      <c r="S10">
        <f t="shared" si="8"/>
        <v>68.723796033994333</v>
      </c>
      <c r="T10">
        <f t="shared" si="9"/>
        <v>0.13065336723537252</v>
      </c>
      <c r="U10">
        <f t="shared" si="10"/>
        <v>130.65336723537251</v>
      </c>
    </row>
    <row r="11" spans="1:22">
      <c r="E11" s="1">
        <v>8.2530000000000001</v>
      </c>
      <c r="F11" s="1">
        <v>9.09</v>
      </c>
      <c r="G11" s="1">
        <f t="shared" si="0"/>
        <v>8.7237960339943346</v>
      </c>
      <c r="I11" s="1">
        <v>65</v>
      </c>
      <c r="J11" s="1">
        <v>4.7157999999999998</v>
      </c>
      <c r="K11" s="1">
        <v>33.866399999999999</v>
      </c>
      <c r="L11">
        <f t="shared" si="1"/>
        <v>0.13924715942645219</v>
      </c>
      <c r="M11">
        <f t="shared" si="2"/>
        <v>0.51831699393354036</v>
      </c>
      <c r="N11">
        <f t="shared" si="3"/>
        <v>0.98460334272378702</v>
      </c>
      <c r="O11">
        <f t="shared" si="4"/>
        <v>0.98575102781800739</v>
      </c>
      <c r="P11">
        <f t="shared" si="5"/>
        <v>0.99883572518634767</v>
      </c>
      <c r="Q11">
        <f t="shared" si="6"/>
        <v>0.1412599687922014</v>
      </c>
      <c r="R11">
        <f t="shared" si="7"/>
        <v>0.52080247004523372</v>
      </c>
      <c r="S11">
        <f t="shared" si="8"/>
        <v>73.723796033994333</v>
      </c>
      <c r="T11">
        <f t="shared" si="9"/>
        <v>0.13057298628245359</v>
      </c>
      <c r="U11">
        <f t="shared" si="10"/>
        <v>130.5729862824536</v>
      </c>
    </row>
    <row r="12" spans="1:22">
      <c r="E12" s="1">
        <v>8.2530000000000001</v>
      </c>
      <c r="F12" s="1">
        <v>9.09</v>
      </c>
      <c r="G12" s="1">
        <f t="shared" si="0"/>
        <v>8.7237960339943346</v>
      </c>
      <c r="I12" s="1">
        <v>70</v>
      </c>
      <c r="J12" s="1">
        <v>5.3959999999999999</v>
      </c>
      <c r="K12" s="1">
        <v>32.285400000000003</v>
      </c>
      <c r="L12">
        <f t="shared" si="1"/>
        <v>0.16713437033457845</v>
      </c>
      <c r="M12">
        <f t="shared" si="2"/>
        <v>0.55083550186972741</v>
      </c>
      <c r="N12">
        <f t="shared" si="3"/>
        <v>0.98458472922448981</v>
      </c>
      <c r="O12">
        <f t="shared" si="4"/>
        <v>0.98623019605415674</v>
      </c>
      <c r="P12">
        <f t="shared" si="5"/>
        <v>0.99833155906577353</v>
      </c>
      <c r="Q12">
        <f t="shared" si="6"/>
        <v>0.16946791023360699</v>
      </c>
      <c r="R12">
        <f t="shared" si="7"/>
        <v>0.55338726173587427</v>
      </c>
      <c r="S12">
        <f t="shared" si="8"/>
        <v>78.723796033994333</v>
      </c>
      <c r="T12">
        <f t="shared" si="9"/>
        <v>0.13331819709203799</v>
      </c>
      <c r="U12">
        <f t="shared" si="10"/>
        <v>133.31819709203799</v>
      </c>
    </row>
    <row r="13" spans="1:22">
      <c r="E13" s="1">
        <v>8.2530000000000001</v>
      </c>
      <c r="F13" s="1">
        <v>9.09</v>
      </c>
      <c r="G13" s="1">
        <f t="shared" si="0"/>
        <v>8.7237960339943346</v>
      </c>
      <c r="I13" s="1">
        <v>75</v>
      </c>
      <c r="J13" s="1">
        <v>6.0975999999999999</v>
      </c>
      <c r="K13" s="1">
        <v>30.1709</v>
      </c>
      <c r="L13">
        <f t="shared" si="1"/>
        <v>0.20210202546162032</v>
      </c>
      <c r="M13">
        <f t="shared" si="2"/>
        <v>0.58684519817068004</v>
      </c>
      <c r="N13">
        <f t="shared" si="3"/>
        <v>0.98459742987946663</v>
      </c>
      <c r="O13">
        <f t="shared" si="4"/>
        <v>0.9866030957771581</v>
      </c>
      <c r="P13">
        <f t="shared" si="5"/>
        <v>0.99796709952940943</v>
      </c>
      <c r="Q13">
        <f t="shared" si="6"/>
        <v>0.2048463321538864</v>
      </c>
      <c r="R13">
        <f t="shared" si="7"/>
        <v>0.5894894867210555</v>
      </c>
      <c r="S13">
        <f t="shared" si="8"/>
        <v>83.723796033994333</v>
      </c>
      <c r="T13">
        <f t="shared" si="9"/>
        <v>0.13232961729189405</v>
      </c>
      <c r="U13">
        <f t="shared" si="10"/>
        <v>132.32961729189404</v>
      </c>
    </row>
    <row r="14" spans="1:22">
      <c r="E14" s="1">
        <v>8.2530000000000001</v>
      </c>
      <c r="F14" s="1">
        <v>9.09</v>
      </c>
      <c r="G14" s="1">
        <f t="shared" si="0"/>
        <v>8.7237960339943346</v>
      </c>
      <c r="I14" s="1">
        <v>80</v>
      </c>
      <c r="J14" s="1">
        <v>6.9046000000000003</v>
      </c>
      <c r="K14" s="1">
        <v>29.1828</v>
      </c>
      <c r="L14">
        <f t="shared" si="1"/>
        <v>0.23659827021396165</v>
      </c>
      <c r="M14">
        <f t="shared" si="2"/>
        <v>0.61849641744595707</v>
      </c>
      <c r="N14">
        <f t="shared" si="3"/>
        <v>0.98440975843</v>
      </c>
      <c r="O14">
        <f t="shared" si="4"/>
        <v>0.98673023712806784</v>
      </c>
      <c r="P14">
        <f t="shared" si="5"/>
        <v>0.99764831499962769</v>
      </c>
      <c r="Q14">
        <f t="shared" si="6"/>
        <v>0.23978009521892613</v>
      </c>
      <c r="R14">
        <f t="shared" si="7"/>
        <v>0.62125663894505756</v>
      </c>
      <c r="S14">
        <f t="shared" si="8"/>
        <v>88.723796033994333</v>
      </c>
      <c r="T14">
        <f t="shared" si="9"/>
        <v>0.13672419910211595</v>
      </c>
      <c r="U14">
        <f t="shared" si="10"/>
        <v>136.72419910211593</v>
      </c>
    </row>
    <row r="15" spans="1:22">
      <c r="E15" s="1">
        <v>8.2530000000000001</v>
      </c>
      <c r="F15" s="1">
        <v>9.09</v>
      </c>
      <c r="G15" s="1">
        <f t="shared" si="0"/>
        <v>8.7237960339943346</v>
      </c>
      <c r="I15" s="1">
        <v>85</v>
      </c>
      <c r="J15" s="1">
        <v>7.6719999999999997</v>
      </c>
      <c r="K15" s="1">
        <v>26.8706</v>
      </c>
      <c r="L15">
        <f t="shared" si="1"/>
        <v>0.28551651247087895</v>
      </c>
      <c r="M15">
        <f t="shared" si="2"/>
        <v>0.65848175077345616</v>
      </c>
      <c r="N15">
        <f t="shared" si="3"/>
        <v>0.98441060218685117</v>
      </c>
      <c r="O15">
        <f t="shared" si="4"/>
        <v>0.98693582336650132</v>
      </c>
      <c r="P15">
        <f t="shared" si="5"/>
        <v>0.99744135219346231</v>
      </c>
      <c r="Q15">
        <f t="shared" si="6"/>
        <v>0.28929592554150463</v>
      </c>
      <c r="R15">
        <f t="shared" si="7"/>
        <v>0.66137448904874874</v>
      </c>
      <c r="S15">
        <f t="shared" si="8"/>
        <v>93.723796033994333</v>
      </c>
      <c r="T15">
        <f t="shared" si="9"/>
        <v>0.13239329897079685</v>
      </c>
      <c r="U15">
        <f t="shared" si="10"/>
        <v>132.39329897079685</v>
      </c>
    </row>
    <row r="16" spans="1:22">
      <c r="E16" s="1">
        <v>8.2530000000000001</v>
      </c>
      <c r="F16" s="1">
        <v>9.09</v>
      </c>
      <c r="G16" s="1">
        <f t="shared" si="0"/>
        <v>8.7237960339943346</v>
      </c>
      <c r="I16" s="1">
        <v>90</v>
      </c>
      <c r="J16" s="1">
        <v>8.484</v>
      </c>
      <c r="K16" s="1">
        <v>24.815300000000001</v>
      </c>
      <c r="L16">
        <f t="shared" si="1"/>
        <v>0.34188585267959687</v>
      </c>
      <c r="M16">
        <f t="shared" si="2"/>
        <v>0.69924125452894825</v>
      </c>
      <c r="N16">
        <f t="shared" si="3"/>
        <v>0.98436775866666659</v>
      </c>
      <c r="O16">
        <f t="shared" si="4"/>
        <v>0.98705909253178503</v>
      </c>
      <c r="P16">
        <f t="shared" si="5"/>
        <v>0.99727338121346387</v>
      </c>
      <c r="Q16">
        <f t="shared" si="6"/>
        <v>0.3463681711321529</v>
      </c>
      <c r="R16">
        <f t="shared" si="7"/>
        <v>0.70228381362612347</v>
      </c>
      <c r="S16">
        <f t="shared" si="8"/>
        <v>98.723796033994333</v>
      </c>
      <c r="T16">
        <f t="shared" si="9"/>
        <v>0.12833795583600249</v>
      </c>
      <c r="U16">
        <f t="shared" si="10"/>
        <v>128.33795583600249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81EE-1952-44F5-BA6E-FAB59C5257B3}">
  <dimension ref="A1:V17"/>
  <sheetViews>
    <sheetView topLeftCell="P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6" width="12.33203125" bestFit="1" customWidth="1"/>
    <col min="17" max="17" width="11.25" bestFit="1" customWidth="1"/>
    <col min="18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35</v>
      </c>
      <c r="B2" s="2">
        <v>3.86</v>
      </c>
      <c r="C2" s="2">
        <v>24.83</v>
      </c>
      <c r="D2" s="2">
        <v>46</v>
      </c>
      <c r="E2" s="2">
        <v>8.2667000000000002</v>
      </c>
      <c r="F2" s="2">
        <v>9.5474999999999994</v>
      </c>
      <c r="G2" s="2">
        <f>0.08792/0.00666</f>
        <v>13.201201201201201</v>
      </c>
      <c r="H2" s="2" t="s">
        <v>9</v>
      </c>
      <c r="I2" s="2">
        <v>46</v>
      </c>
      <c r="J2" s="2">
        <v>2.6501999999999999</v>
      </c>
      <c r="K2" s="2">
        <v>44.488500000000002</v>
      </c>
      <c r="L2" s="3">
        <f>J2:J25/K2:K25</f>
        <v>5.9570450790653762E-2</v>
      </c>
      <c r="M2" s="3">
        <f>(L2:L25)^(1/3)</f>
        <v>0.39055028781176154</v>
      </c>
      <c r="N2" s="3">
        <f>1-((3/10)*(J2:J25/I2:I25)^2)-((3/2)*((J2:J25*E2)/(I2:I25)^2))</f>
        <v>0.98347368595368612</v>
      </c>
      <c r="O2" s="3">
        <f>1-(F2/I2:I25)^3-((9/8)*(1-(F2/I2:I25)^2)*((J2:J25*E2)/I2:I25^2))-((9/35)*(J2:J25/I2:I25)^2)</f>
        <v>0.97905915782164099</v>
      </c>
      <c r="P2" s="3">
        <f>N2:N25/O2:O25</f>
        <v>1.0045089493283197</v>
      </c>
      <c r="Q2" s="3">
        <f>L2:L25/O2:O25</f>
        <v>6.0844587699067254E-2</v>
      </c>
      <c r="R2" s="3">
        <f>Q2:Q25^(1/3)</f>
        <v>0.39331512794179668</v>
      </c>
      <c r="S2" s="3">
        <f>I2:I25+G2</f>
        <v>59.201201201201201</v>
      </c>
      <c r="T2" s="3">
        <f>(P2:P25*3*K2:K25*J2:J25)/(2*24.83*S2:S25)</f>
        <v>0.12085489456061303</v>
      </c>
      <c r="U2" s="3">
        <f>T2:T25*1000</f>
        <v>120.85489456061303</v>
      </c>
      <c r="V2">
        <f>AVERAGE(U3:U17)</f>
        <v>122.0921631204836</v>
      </c>
    </row>
    <row r="3" spans="1:22">
      <c r="E3" s="1">
        <v>8.2667000000000002</v>
      </c>
      <c r="F3" s="1">
        <v>9.5474999999999994</v>
      </c>
      <c r="G3" s="1">
        <f t="shared" ref="G3:G17" si="0">0.08792/0.00666</f>
        <v>13.201201201201201</v>
      </c>
      <c r="I3" s="1">
        <v>47</v>
      </c>
      <c r="J3" s="1">
        <v>2.6918000000000002</v>
      </c>
      <c r="K3" s="1">
        <v>43.233699999999999</v>
      </c>
      <c r="L3">
        <f t="shared" ref="L3:L17" si="1">J3:J26/K3:K26</f>
        <v>6.2261615360239816E-2</v>
      </c>
      <c r="M3">
        <f t="shared" ref="M3:M17" si="2">(L3:L26)^(1/3)</f>
        <v>0.39634507078236758</v>
      </c>
      <c r="N3">
        <f t="shared" ref="N3:N17" si="3">1-((3/10)*(J3:J26/I3:I26)^2)-((3/2)*((J3:J26*E3)/(I3:I26)^2))</f>
        <v>0.98390575338976916</v>
      </c>
      <c r="O3">
        <f t="shared" ref="O3:O17" si="4">1-(F3/I3:I26)^3-((9/8)*(1-(F3/I3:I26)^2)*((J3:J26*E3)/I3:I26^2))-((9/35)*(J3:J26/I3:I26)^2)</f>
        <v>0.97990899060683823</v>
      </c>
      <c r="P3">
        <f t="shared" ref="P3:P17" si="5">N3:N26/O3:O26</f>
        <v>1.0040787081466165</v>
      </c>
      <c r="Q3">
        <f t="shared" ref="Q3:Q17" si="6">L3:L26/O3:O26</f>
        <v>6.3538161152784642E-2</v>
      </c>
      <c r="R3">
        <f t="shared" ref="R3:R17" si="7">Q3:Q26^(1/3)</f>
        <v>0.39903551201143966</v>
      </c>
      <c r="S3">
        <f t="shared" ref="S3:S17" si="8">I3:I26+G3</f>
        <v>60.201201201201201</v>
      </c>
      <c r="T3">
        <f t="shared" ref="T3:T17" si="9">(P3:P26*3*K3:K26*J3:J26)/(2*24.83*S3:S26)</f>
        <v>0.11725795989559488</v>
      </c>
      <c r="U3">
        <f t="shared" ref="U3:U17" si="10">T3:T26*1000</f>
        <v>117.25795989559488</v>
      </c>
    </row>
    <row r="4" spans="1:22">
      <c r="E4" s="1">
        <v>8.2667000000000002</v>
      </c>
      <c r="F4" s="1">
        <v>9.5474999999999994</v>
      </c>
      <c r="G4" s="1">
        <f t="shared" si="0"/>
        <v>13.201201201201201</v>
      </c>
      <c r="I4" s="1">
        <v>48</v>
      </c>
      <c r="J4" s="1">
        <v>2.7888999999999999</v>
      </c>
      <c r="K4" s="1">
        <v>42.087499999999999</v>
      </c>
      <c r="L4">
        <f t="shared" si="1"/>
        <v>6.6264330264330262E-2</v>
      </c>
      <c r="M4">
        <f t="shared" si="2"/>
        <v>0.40466278950141044</v>
      </c>
      <c r="N4">
        <f t="shared" si="3"/>
        <v>0.98397747898958332</v>
      </c>
      <c r="O4">
        <f t="shared" si="4"/>
        <v>0.98045051459507204</v>
      </c>
      <c r="P4">
        <f t="shared" si="5"/>
        <v>1.0035972895541474</v>
      </c>
      <c r="Q4">
        <f t="shared" si="6"/>
        <v>6.7585593844782216E-2</v>
      </c>
      <c r="R4">
        <f t="shared" si="7"/>
        <v>0.40733467160299264</v>
      </c>
      <c r="S4">
        <f t="shared" si="8"/>
        <v>61.201201201201201</v>
      </c>
      <c r="T4">
        <f t="shared" si="9"/>
        <v>0.1162786938586348</v>
      </c>
      <c r="U4">
        <f t="shared" si="10"/>
        <v>116.27869385863481</v>
      </c>
    </row>
    <row r="5" spans="1:22">
      <c r="E5" s="1">
        <v>8.2667000000000002</v>
      </c>
      <c r="F5" s="1">
        <v>9.5474999999999994</v>
      </c>
      <c r="G5" s="1">
        <f t="shared" si="0"/>
        <v>13.201201201201201</v>
      </c>
      <c r="I5" s="1">
        <v>49</v>
      </c>
      <c r="J5" s="1">
        <v>2.9537</v>
      </c>
      <c r="K5" s="1">
        <v>42.107199999999999</v>
      </c>
      <c r="L5">
        <f t="shared" si="1"/>
        <v>7.0147148231181372E-2</v>
      </c>
      <c r="M5">
        <f t="shared" si="2"/>
        <v>0.41241710874355664</v>
      </c>
      <c r="N5">
        <f t="shared" si="3"/>
        <v>0.98365542241066228</v>
      </c>
      <c r="O5">
        <f t="shared" si="4"/>
        <v>0.98066169961322291</v>
      </c>
      <c r="P5">
        <f t="shared" si="5"/>
        <v>1.0030527579476389</v>
      </c>
      <c r="Q5">
        <f t="shared" si="6"/>
        <v>7.1530425078136228E-2</v>
      </c>
      <c r="R5">
        <f t="shared" si="7"/>
        <v>0.41511038835966829</v>
      </c>
      <c r="S5">
        <f t="shared" si="8"/>
        <v>62.201201201201201</v>
      </c>
      <c r="T5">
        <f t="shared" si="9"/>
        <v>0.12116084410825893</v>
      </c>
      <c r="U5">
        <f t="shared" si="10"/>
        <v>121.16084410825893</v>
      </c>
    </row>
    <row r="6" spans="1:22">
      <c r="E6" s="1">
        <v>8.2667000000000002</v>
      </c>
      <c r="F6" s="1">
        <v>9.5474999999999994</v>
      </c>
      <c r="G6" s="1">
        <f t="shared" si="0"/>
        <v>13.201201201201201</v>
      </c>
      <c r="I6" s="1">
        <v>50</v>
      </c>
      <c r="J6" s="1">
        <v>3.0491999999999999</v>
      </c>
      <c r="K6" s="1">
        <v>41.099400000000003</v>
      </c>
      <c r="L6">
        <f t="shared" si="1"/>
        <v>7.4190864100205839E-2</v>
      </c>
      <c r="M6">
        <f t="shared" si="2"/>
        <v>0.42019428671813625</v>
      </c>
      <c r="N6">
        <f t="shared" si="3"/>
        <v>0.9837601925392</v>
      </c>
      <c r="O6">
        <f t="shared" si="4"/>
        <v>0.98115179318806256</v>
      </c>
      <c r="P6">
        <f t="shared" si="5"/>
        <v>1.0026585074493539</v>
      </c>
      <c r="Q6">
        <f t="shared" si="6"/>
        <v>7.561609183746891E-2</v>
      </c>
      <c r="R6">
        <f t="shared" si="7"/>
        <v>0.42286792284996255</v>
      </c>
      <c r="S6">
        <f t="shared" si="8"/>
        <v>63.201201201201201</v>
      </c>
      <c r="T6">
        <f t="shared" si="9"/>
        <v>0.12010570668954333</v>
      </c>
      <c r="U6">
        <f t="shared" si="10"/>
        <v>120.10570668954333</v>
      </c>
    </row>
    <row r="7" spans="1:22">
      <c r="E7" s="1">
        <v>8.2667000000000002</v>
      </c>
      <c r="F7" s="1">
        <v>9.5474999999999994</v>
      </c>
      <c r="G7" s="1">
        <f t="shared" si="0"/>
        <v>13.201201201201201</v>
      </c>
      <c r="I7" s="1">
        <v>51</v>
      </c>
      <c r="J7" s="1">
        <v>3.1166999999999998</v>
      </c>
      <c r="K7" s="1">
        <v>40.941299999999998</v>
      </c>
      <c r="L7">
        <f t="shared" si="1"/>
        <v>7.6126063412739697E-2</v>
      </c>
      <c r="M7">
        <f t="shared" si="2"/>
        <v>0.4238164318485278</v>
      </c>
      <c r="N7">
        <f t="shared" si="3"/>
        <v>0.98402099903806228</v>
      </c>
      <c r="O7">
        <f t="shared" si="4"/>
        <v>0.98172543325839479</v>
      </c>
      <c r="P7">
        <f t="shared" si="5"/>
        <v>1.002338297146941</v>
      </c>
      <c r="Q7">
        <f t="shared" si="6"/>
        <v>7.7543130526906659E-2</v>
      </c>
      <c r="R7">
        <f t="shared" si="7"/>
        <v>0.42643002585606649</v>
      </c>
      <c r="S7">
        <f t="shared" si="8"/>
        <v>64.201201201201201</v>
      </c>
      <c r="T7">
        <f t="shared" si="9"/>
        <v>0.12034895938414646</v>
      </c>
      <c r="U7">
        <f t="shared" si="10"/>
        <v>120.34895938414645</v>
      </c>
    </row>
    <row r="8" spans="1:22">
      <c r="E8" s="1">
        <v>8.2667000000000002</v>
      </c>
      <c r="F8" s="1">
        <v>9.5474999999999994</v>
      </c>
      <c r="G8" s="1">
        <f t="shared" si="0"/>
        <v>13.201201201201201</v>
      </c>
      <c r="I8" s="1">
        <v>52</v>
      </c>
      <c r="J8" s="1">
        <v>3.2254</v>
      </c>
      <c r="K8" s="1">
        <v>40.1113</v>
      </c>
      <c r="L8">
        <f t="shared" si="1"/>
        <v>8.0411255681067426E-2</v>
      </c>
      <c r="M8">
        <f t="shared" si="2"/>
        <v>0.43162402931292049</v>
      </c>
      <c r="N8">
        <f t="shared" si="3"/>
        <v>0.9840547030998521</v>
      </c>
      <c r="O8">
        <f t="shared" si="4"/>
        <v>0.98210178217947375</v>
      </c>
      <c r="P8">
        <f t="shared" si="5"/>
        <v>1.0019885117365783</v>
      </c>
      <c r="Q8">
        <f t="shared" si="6"/>
        <v>8.1876702741155105E-2</v>
      </c>
      <c r="R8">
        <f t="shared" si="7"/>
        <v>0.43423029029986809</v>
      </c>
      <c r="S8">
        <f t="shared" si="8"/>
        <v>65.201201201201201</v>
      </c>
      <c r="T8">
        <f t="shared" si="9"/>
        <v>0.12010801902588378</v>
      </c>
      <c r="U8">
        <f t="shared" si="10"/>
        <v>120.10801902588378</v>
      </c>
    </row>
    <row r="9" spans="1:22">
      <c r="E9" s="1">
        <v>8.2667000000000002</v>
      </c>
      <c r="F9" s="1">
        <v>9.5474999999999994</v>
      </c>
      <c r="G9" s="1">
        <f t="shared" si="0"/>
        <v>13.201201201201201</v>
      </c>
      <c r="I9" s="1">
        <v>53</v>
      </c>
      <c r="J9" s="1">
        <v>3.2896000000000001</v>
      </c>
      <c r="K9" s="1">
        <v>39.874099999999999</v>
      </c>
      <c r="L9">
        <f t="shared" si="1"/>
        <v>8.2499667704098653E-2</v>
      </c>
      <c r="M9">
        <f t="shared" si="2"/>
        <v>0.43532880008044039</v>
      </c>
      <c r="N9">
        <f t="shared" si="3"/>
        <v>0.98432266111498756</v>
      </c>
      <c r="O9">
        <f t="shared" si="4"/>
        <v>0.98262583247748714</v>
      </c>
      <c r="P9">
        <f t="shared" si="5"/>
        <v>1.0017268308866074</v>
      </c>
      <c r="Q9">
        <f t="shared" si="6"/>
        <v>8.3958374568774419E-2</v>
      </c>
      <c r="R9">
        <f t="shared" si="7"/>
        <v>0.43787956101525199</v>
      </c>
      <c r="S9">
        <f t="shared" si="8"/>
        <v>66.201201201201201</v>
      </c>
      <c r="T9">
        <f t="shared" si="9"/>
        <v>0.11990352829040898</v>
      </c>
      <c r="U9">
        <f t="shared" si="10"/>
        <v>119.90352829040899</v>
      </c>
    </row>
    <row r="10" spans="1:22">
      <c r="E10" s="1">
        <v>8.2667000000000002</v>
      </c>
      <c r="F10" s="1">
        <v>9.5474999999999994</v>
      </c>
      <c r="G10" s="1">
        <f t="shared" si="0"/>
        <v>13.201201201201201</v>
      </c>
      <c r="I10" s="1">
        <v>55</v>
      </c>
      <c r="J10" s="1">
        <v>3.6238999999999999</v>
      </c>
      <c r="K10" s="1">
        <v>39.024299999999997</v>
      </c>
      <c r="L10">
        <f t="shared" si="1"/>
        <v>9.2862652244883326E-2</v>
      </c>
      <c r="M10">
        <f t="shared" si="2"/>
        <v>0.45284234198537543</v>
      </c>
      <c r="N10">
        <f t="shared" si="3"/>
        <v>0.9838425333692562</v>
      </c>
      <c r="O10">
        <f t="shared" si="4"/>
        <v>0.98284713101768206</v>
      </c>
      <c r="P10">
        <f t="shared" si="5"/>
        <v>1.0010127743370869</v>
      </c>
      <c r="Q10">
        <f t="shared" si="6"/>
        <v>9.4483312118670337E-2</v>
      </c>
      <c r="R10">
        <f t="shared" si="7"/>
        <v>0.45546153243765658</v>
      </c>
      <c r="S10">
        <f t="shared" si="8"/>
        <v>68.201201201201201</v>
      </c>
      <c r="T10">
        <f t="shared" si="9"/>
        <v>0.12539304884246735</v>
      </c>
      <c r="U10">
        <f t="shared" si="10"/>
        <v>125.39304884246735</v>
      </c>
    </row>
    <row r="11" spans="1:22">
      <c r="E11" s="1">
        <v>8.2667000000000002</v>
      </c>
      <c r="F11" s="1">
        <v>9.5474999999999994</v>
      </c>
      <c r="G11" s="1">
        <f t="shared" si="0"/>
        <v>13.201201201201201</v>
      </c>
      <c r="I11" s="1">
        <v>60</v>
      </c>
      <c r="J11" s="1">
        <v>4.0258000000000003</v>
      </c>
      <c r="K11" s="1">
        <v>35.7438</v>
      </c>
      <c r="L11">
        <f t="shared" si="1"/>
        <v>0.11262932312736755</v>
      </c>
      <c r="M11">
        <f t="shared" si="2"/>
        <v>0.48292959940405683</v>
      </c>
      <c r="N11">
        <f t="shared" si="3"/>
        <v>0.98478271083833324</v>
      </c>
      <c r="O11">
        <f t="shared" si="4"/>
        <v>0.9846764969577817</v>
      </c>
      <c r="P11">
        <f t="shared" si="5"/>
        <v>1.0001078667774439</v>
      </c>
      <c r="Q11">
        <f t="shared" si="6"/>
        <v>0.11438205692462726</v>
      </c>
      <c r="R11">
        <f t="shared" si="7"/>
        <v>0.48542182725679206</v>
      </c>
      <c r="S11">
        <f t="shared" si="8"/>
        <v>73.201201201201201</v>
      </c>
      <c r="T11">
        <f t="shared" si="9"/>
        <v>0.11876708357556563</v>
      </c>
      <c r="U11">
        <f t="shared" si="10"/>
        <v>118.76708357556564</v>
      </c>
    </row>
    <row r="12" spans="1:22">
      <c r="E12" s="1">
        <v>8.2667000000000002</v>
      </c>
      <c r="F12" s="1">
        <v>9.5474999999999994</v>
      </c>
      <c r="G12" s="1">
        <f t="shared" si="0"/>
        <v>13.201201201201201</v>
      </c>
      <c r="I12" s="1">
        <v>65</v>
      </c>
      <c r="J12" s="1">
        <v>4.7537000000000003</v>
      </c>
      <c r="K12" s="1">
        <v>32.858499999999999</v>
      </c>
      <c r="L12">
        <f t="shared" si="1"/>
        <v>0.14467185051052239</v>
      </c>
      <c r="M12">
        <f t="shared" si="2"/>
        <v>0.52496217476299023</v>
      </c>
      <c r="N12">
        <f t="shared" si="3"/>
        <v>0.98444368833325446</v>
      </c>
      <c r="O12">
        <f t="shared" si="4"/>
        <v>0.98521755703529168</v>
      </c>
      <c r="P12">
        <f t="shared" si="5"/>
        <v>0.99921451998443278</v>
      </c>
      <c r="Q12">
        <f t="shared" si="6"/>
        <v>0.14684254201261668</v>
      </c>
      <c r="R12">
        <f t="shared" si="7"/>
        <v>0.52757470488749347</v>
      </c>
      <c r="S12">
        <f t="shared" si="8"/>
        <v>78.201201201201201</v>
      </c>
      <c r="T12">
        <f t="shared" si="9"/>
        <v>0.12057002643709033</v>
      </c>
      <c r="U12">
        <f t="shared" si="10"/>
        <v>120.57002643709033</v>
      </c>
    </row>
    <row r="13" spans="1:22">
      <c r="E13" s="1">
        <v>8.2667000000000002</v>
      </c>
      <c r="F13" s="1">
        <v>9.5474999999999994</v>
      </c>
      <c r="G13" s="1">
        <f t="shared" si="0"/>
        <v>13.201201201201201</v>
      </c>
      <c r="I13" s="1">
        <v>70</v>
      </c>
      <c r="J13" s="1">
        <v>5.2824</v>
      </c>
      <c r="K13" s="1">
        <v>31.3368</v>
      </c>
      <c r="L13">
        <f t="shared" si="1"/>
        <v>0.1685685839013556</v>
      </c>
      <c r="M13">
        <f t="shared" si="2"/>
        <v>0.55240662634647153</v>
      </c>
      <c r="N13">
        <f t="shared" si="3"/>
        <v>0.98492384713306125</v>
      </c>
      <c r="O13">
        <f t="shared" si="4"/>
        <v>0.98615903581726461</v>
      </c>
      <c r="P13">
        <f t="shared" si="5"/>
        <v>0.9987474751644092</v>
      </c>
      <c r="Q13">
        <f t="shared" si="6"/>
        <v>0.17093448194353042</v>
      </c>
      <c r="R13">
        <f t="shared" si="7"/>
        <v>0.55497901275347372</v>
      </c>
      <c r="S13">
        <f t="shared" si="8"/>
        <v>83.201201201201201</v>
      </c>
      <c r="T13">
        <f t="shared" si="9"/>
        <v>0.12004016055820156</v>
      </c>
      <c r="U13">
        <f t="shared" si="10"/>
        <v>120.04016055820156</v>
      </c>
    </row>
    <row r="14" spans="1:22">
      <c r="E14" s="1">
        <v>8.2667000000000002</v>
      </c>
      <c r="F14" s="1">
        <v>9.5474999999999994</v>
      </c>
      <c r="G14" s="1">
        <f t="shared" si="0"/>
        <v>13.201201201201201</v>
      </c>
      <c r="I14" s="1">
        <v>75</v>
      </c>
      <c r="J14" s="1">
        <v>5.9394999999999998</v>
      </c>
      <c r="K14" s="1">
        <v>30.408000000000001</v>
      </c>
      <c r="L14">
        <f t="shared" si="1"/>
        <v>0.19532688766114178</v>
      </c>
      <c r="M14">
        <f t="shared" si="2"/>
        <v>0.58021285059467387</v>
      </c>
      <c r="N14">
        <f t="shared" si="3"/>
        <v>0.98502517421333324</v>
      </c>
      <c r="O14">
        <f t="shared" si="4"/>
        <v>0.98666349677033438</v>
      </c>
      <c r="P14">
        <f t="shared" si="5"/>
        <v>0.99833953261434738</v>
      </c>
      <c r="Q14">
        <f t="shared" si="6"/>
        <v>0.19796707621241613</v>
      </c>
      <c r="R14">
        <f t="shared" si="7"/>
        <v>0.5828153608898794</v>
      </c>
      <c r="S14">
        <f t="shared" si="8"/>
        <v>88.201201201201201</v>
      </c>
      <c r="T14">
        <f t="shared" si="9"/>
        <v>0.12349689876446182</v>
      </c>
      <c r="U14">
        <f t="shared" si="10"/>
        <v>123.49689876446182</v>
      </c>
    </row>
    <row r="15" spans="1:22">
      <c r="E15" s="1">
        <v>8.2667000000000002</v>
      </c>
      <c r="F15" s="1">
        <v>9.5474999999999994</v>
      </c>
      <c r="G15" s="1">
        <f t="shared" si="0"/>
        <v>13.201201201201201</v>
      </c>
      <c r="I15" s="1">
        <v>80</v>
      </c>
      <c r="J15" s="1">
        <v>6.7662000000000004</v>
      </c>
      <c r="K15" s="1">
        <v>29.518699999999999</v>
      </c>
      <c r="L15">
        <f t="shared" si="1"/>
        <v>0.2292174113358651</v>
      </c>
      <c r="M15">
        <f t="shared" si="2"/>
        <v>0.61199687025456817</v>
      </c>
      <c r="N15">
        <f t="shared" si="3"/>
        <v>0.98474442858718747</v>
      </c>
      <c r="O15">
        <f t="shared" si="4"/>
        <v>0.98676862643696162</v>
      </c>
      <c r="P15">
        <f t="shared" si="5"/>
        <v>0.99794866010578065</v>
      </c>
      <c r="Q15">
        <f t="shared" si="6"/>
        <v>0.23229093953212379</v>
      </c>
      <c r="R15">
        <f t="shared" si="7"/>
        <v>0.6147201137096614</v>
      </c>
      <c r="S15">
        <f t="shared" si="8"/>
        <v>93.201201201201201</v>
      </c>
      <c r="T15">
        <f t="shared" si="9"/>
        <v>0.12919428040655881</v>
      </c>
      <c r="U15">
        <f t="shared" si="10"/>
        <v>129.19428040655882</v>
      </c>
    </row>
    <row r="16" spans="1:22">
      <c r="E16" s="1">
        <v>8.2667000000000002</v>
      </c>
      <c r="F16" s="1">
        <v>9.5474999999999994</v>
      </c>
      <c r="G16" s="1">
        <f t="shared" si="0"/>
        <v>13.201201201201201</v>
      </c>
      <c r="I16" s="1">
        <v>85</v>
      </c>
      <c r="J16" s="1">
        <v>7.6078000000000001</v>
      </c>
      <c r="K16" s="1">
        <v>27.601800000000001</v>
      </c>
      <c r="L16">
        <f t="shared" si="1"/>
        <v>0.27562695186545805</v>
      </c>
      <c r="M16">
        <f t="shared" si="2"/>
        <v>0.6507895351558598</v>
      </c>
      <c r="N16">
        <f t="shared" si="3"/>
        <v>0.98453969735058822</v>
      </c>
      <c r="O16">
        <f t="shared" si="4"/>
        <v>0.98685369345019669</v>
      </c>
      <c r="P16">
        <f t="shared" si="5"/>
        <v>0.99765517815359395</v>
      </c>
      <c r="Q16">
        <f t="shared" si="6"/>
        <v>0.27929869817056935</v>
      </c>
      <c r="R16">
        <f t="shared" si="7"/>
        <v>0.65366661377989344</v>
      </c>
      <c r="S16">
        <f t="shared" si="8"/>
        <v>98.201201201201201</v>
      </c>
      <c r="T16">
        <f t="shared" si="9"/>
        <v>0.12887678458024548</v>
      </c>
      <c r="U16">
        <f t="shared" si="10"/>
        <v>128.8767845802455</v>
      </c>
    </row>
    <row r="17" spans="5:21">
      <c r="E17" s="1">
        <v>8.2667000000000002</v>
      </c>
      <c r="F17" s="1">
        <v>9.5474999999999994</v>
      </c>
      <c r="G17" s="1">
        <f t="shared" si="0"/>
        <v>13.201201201201201</v>
      </c>
      <c r="I17" s="1">
        <v>90</v>
      </c>
      <c r="J17" s="1">
        <v>8.5103000000000009</v>
      </c>
      <c r="K17" s="1">
        <v>26.139399999999998</v>
      </c>
      <c r="L17">
        <f t="shared" si="1"/>
        <v>0.32557365509537334</v>
      </c>
      <c r="M17">
        <f t="shared" si="2"/>
        <v>0.68793871641194271</v>
      </c>
      <c r="N17">
        <f t="shared" si="3"/>
        <v>0.98428941884666665</v>
      </c>
      <c r="O17">
        <f t="shared" si="4"/>
        <v>0.9868457963615096</v>
      </c>
      <c r="P17">
        <f t="shared" si="5"/>
        <v>0.99740954714073027</v>
      </c>
      <c r="Q17">
        <f t="shared" si="6"/>
        <v>0.32991340318392204</v>
      </c>
      <c r="R17">
        <f t="shared" si="7"/>
        <v>0.69098187118274745</v>
      </c>
      <c r="S17">
        <f t="shared" si="8"/>
        <v>103.2012012012012</v>
      </c>
      <c r="T17">
        <f t="shared" si="9"/>
        <v>0.12988045239019202</v>
      </c>
      <c r="U17">
        <f t="shared" si="10"/>
        <v>129.88045239019203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F6FE-4AA0-4FFF-93F7-4B07F8143B2B}">
  <dimension ref="A1:V17"/>
  <sheetViews>
    <sheetView topLeftCell="P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0" width="12.33203125" bestFit="1" customWidth="1"/>
    <col min="21" max="21" width="11.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38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37</v>
      </c>
      <c r="B2" s="2">
        <v>3.88</v>
      </c>
      <c r="C2" s="2">
        <v>24.91</v>
      </c>
      <c r="D2" s="2">
        <v>47</v>
      </c>
      <c r="E2" s="2">
        <v>8.1150000000000002</v>
      </c>
      <c r="F2" s="2">
        <v>9.3975000000000009</v>
      </c>
      <c r="G2" s="2">
        <f>0.04819/0.00711</f>
        <v>6.7777777777777777</v>
      </c>
      <c r="H2" s="2" t="s">
        <v>9</v>
      </c>
      <c r="I2" s="2">
        <v>47</v>
      </c>
      <c r="J2" s="2">
        <v>2.4140999999999999</v>
      </c>
      <c r="K2" s="2">
        <v>45.060600000000001</v>
      </c>
      <c r="L2" s="3">
        <f>J2:J25/K2:K25</f>
        <v>5.357451964687554E-2</v>
      </c>
      <c r="M2" s="3">
        <f>(L2:L25)^(1/3)</f>
        <v>0.37698097089578164</v>
      </c>
      <c r="N2" s="3">
        <f>1-((3/10)*(J2:J25/I2:I25)^2)-((3/2)*((J2:J25*E2)/(I2:I25)^2))</f>
        <v>0.98590584160570394</v>
      </c>
      <c r="O2" s="3">
        <f>1-(F2/I2:I25)^3-((9/8)*(1-(F2/I2:I25)^2)*((J2:J25*E2)/I2:I25^2))-((9/35)*(J2:J25/I2:I25)^2)</f>
        <v>0.98174983013342665</v>
      </c>
      <c r="P2" s="3">
        <f>N2:N25/O2:O25</f>
        <v>1.0042332693571361</v>
      </c>
      <c r="Q2" s="3">
        <f>L2:L25/O2:O25</f>
        <v>5.4570439436281225E-2</v>
      </c>
      <c r="R2" s="3">
        <f>Q2:Q25^(1/3)</f>
        <v>0.37930259767700053</v>
      </c>
      <c r="S2" s="3">
        <f>I2:I25+G2</f>
        <v>53.777777777777779</v>
      </c>
      <c r="T2" s="3">
        <f>(P2:P25*3*K2:K25*J2:J25)/(2*24.91*S2:S25)</f>
        <v>0.12232113738895876</v>
      </c>
      <c r="U2" s="3">
        <f>T2:T25*1000</f>
        <v>122.32113738895876</v>
      </c>
      <c r="V2">
        <f>AVERAGE(U3:U17)</f>
        <v>130.07837544222286</v>
      </c>
    </row>
    <row r="3" spans="1:22">
      <c r="E3" s="1">
        <v>8.1150000000000002</v>
      </c>
      <c r="F3" s="1">
        <v>9.3975000000000009</v>
      </c>
      <c r="G3" s="1">
        <f t="shared" ref="G3:G17" si="0">0.04819/0.00711</f>
        <v>6.7777777777777777</v>
      </c>
      <c r="I3" s="1">
        <v>48</v>
      </c>
      <c r="J3" s="1">
        <v>2.4117999999999999</v>
      </c>
      <c r="K3" s="1">
        <v>43.3127</v>
      </c>
      <c r="L3">
        <f t="shared" ref="L3:L17" si="1">J3:J26/K3:K26</f>
        <v>5.5683436959598452E-2</v>
      </c>
      <c r="M3">
        <f t="shared" ref="M3:M17" si="2">(L3:L26)^(1/3)</f>
        <v>0.38186396515729093</v>
      </c>
      <c r="N3">
        <f t="shared" ref="N3:N17" si="3">1-((3/10)*(J3:J26/I3:I26)^2)-((3/2)*((J3:J26*E3)/(I3:I26)^2))</f>
        <v>0.98650057757291676</v>
      </c>
      <c r="O3">
        <f t="shared" ref="O3:O17" si="4">1-(F3/I3:I26)^3-((9/8)*(1-(F3/I3:I26)^2)*((J3:J26*E3)/I3:I26^2))-((9/35)*(J3:J26/I3:I26)^2)</f>
        <v>0.98265623462312235</v>
      </c>
      <c r="P3">
        <f t="shared" ref="P3:P17" si="5">N3:N26/O3:O26</f>
        <v>1.0039121951444889</v>
      </c>
      <c r="Q3">
        <f t="shared" ref="Q3:Q17" si="6">L3:L26/O3:O26</f>
        <v>5.666624298267918E-2</v>
      </c>
      <c r="R3">
        <f t="shared" ref="R3:R17" si="7">Q3:Q26^(1/3)</f>
        <v>0.38409749356191841</v>
      </c>
      <c r="S3">
        <f t="shared" ref="S3:S17" si="8">I3:I26+G3</f>
        <v>54.777777777777779</v>
      </c>
      <c r="T3">
        <f t="shared" ref="T3:T17" si="9">(P3:P26*3*K3:K26*J3:J26)/(2*24.91*S3:S26)</f>
        <v>0.11528303456225714</v>
      </c>
      <c r="U3">
        <f t="shared" ref="U3:U17" si="10">T3:T26*1000</f>
        <v>115.28303456225714</v>
      </c>
    </row>
    <row r="4" spans="1:22">
      <c r="E4" s="1">
        <v>8.1150000000000002</v>
      </c>
      <c r="F4" s="1">
        <v>9.3975000000000009</v>
      </c>
      <c r="G4" s="1">
        <f t="shared" si="0"/>
        <v>6.7777777777777777</v>
      </c>
      <c r="I4" s="1">
        <v>49</v>
      </c>
      <c r="J4" s="1">
        <v>2.7214</v>
      </c>
      <c r="K4" s="1">
        <v>43.9649</v>
      </c>
      <c r="L4">
        <f t="shared" si="1"/>
        <v>6.1899378822651709E-2</v>
      </c>
      <c r="M4">
        <f t="shared" si="2"/>
        <v>0.39557493336066002</v>
      </c>
      <c r="N4">
        <f t="shared" si="3"/>
        <v>0.98527778138775512</v>
      </c>
      <c r="O4">
        <f t="shared" si="4"/>
        <v>0.98218557783249727</v>
      </c>
      <c r="P4">
        <f t="shared" si="5"/>
        <v>1.003148288495624</v>
      </c>
      <c r="Q4">
        <f t="shared" si="6"/>
        <v>6.3022080775460218E-2</v>
      </c>
      <c r="R4">
        <f t="shared" si="7"/>
        <v>0.39795220248595203</v>
      </c>
      <c r="S4">
        <f t="shared" si="8"/>
        <v>55.777777777777779</v>
      </c>
      <c r="T4">
        <f t="shared" si="9"/>
        <v>0.12957461600038142</v>
      </c>
      <c r="U4">
        <f t="shared" si="10"/>
        <v>129.57461600038141</v>
      </c>
    </row>
    <row r="5" spans="1:22">
      <c r="E5" s="1">
        <v>8.1150000000000002</v>
      </c>
      <c r="F5" s="1">
        <v>9.3975000000000009</v>
      </c>
      <c r="G5" s="1">
        <f t="shared" si="0"/>
        <v>6.7777777777777777</v>
      </c>
      <c r="I5" s="1">
        <v>50</v>
      </c>
      <c r="J5" s="1">
        <v>2.8367</v>
      </c>
      <c r="K5" s="1">
        <v>43.628900000000002</v>
      </c>
      <c r="L5">
        <f t="shared" si="1"/>
        <v>6.5018829262255065E-2</v>
      </c>
      <c r="M5">
        <f t="shared" si="2"/>
        <v>0.40211139636691573</v>
      </c>
      <c r="N5">
        <f t="shared" si="3"/>
        <v>0.98522248367319998</v>
      </c>
      <c r="O5">
        <f t="shared" si="4"/>
        <v>0.98253996214717221</v>
      </c>
      <c r="P5">
        <f t="shared" si="5"/>
        <v>1.0027301907600437</v>
      </c>
      <c r="Q5">
        <f t="shared" si="6"/>
        <v>6.6174233890871556E-2</v>
      </c>
      <c r="R5">
        <f t="shared" si="7"/>
        <v>0.40447930624157941</v>
      </c>
      <c r="S5">
        <f t="shared" si="8"/>
        <v>56.777777777777779</v>
      </c>
      <c r="T5">
        <f t="shared" si="9"/>
        <v>0.1316166716377298</v>
      </c>
      <c r="U5">
        <f t="shared" si="10"/>
        <v>131.61667163772981</v>
      </c>
    </row>
    <row r="6" spans="1:22">
      <c r="E6" s="1">
        <v>8.1150000000000002</v>
      </c>
      <c r="F6" s="1">
        <v>9.3975000000000009</v>
      </c>
      <c r="G6" s="1">
        <f t="shared" si="0"/>
        <v>6.7777777777777777</v>
      </c>
      <c r="I6" s="1">
        <v>51</v>
      </c>
      <c r="J6" s="1">
        <v>2.9075000000000002</v>
      </c>
      <c r="K6" s="1">
        <v>42.878</v>
      </c>
      <c r="L6">
        <f t="shared" si="1"/>
        <v>6.7808666448994831E-2</v>
      </c>
      <c r="M6">
        <f t="shared" si="2"/>
        <v>0.40778232824108301</v>
      </c>
      <c r="N6">
        <f t="shared" si="3"/>
        <v>0.98541806588811998</v>
      </c>
      <c r="O6">
        <f t="shared" si="4"/>
        <v>0.98304915419510064</v>
      </c>
      <c r="P6">
        <f t="shared" si="5"/>
        <v>1.0024097591487773</v>
      </c>
      <c r="Q6">
        <f t="shared" si="6"/>
        <v>6.8977900199217498E-2</v>
      </c>
      <c r="R6">
        <f t="shared" si="7"/>
        <v>0.41011279902385472</v>
      </c>
      <c r="S6">
        <f t="shared" si="8"/>
        <v>57.777777777777779</v>
      </c>
      <c r="T6">
        <f t="shared" si="9"/>
        <v>0.13024355051483272</v>
      </c>
      <c r="U6">
        <f t="shared" si="10"/>
        <v>130.24355051483272</v>
      </c>
    </row>
    <row r="7" spans="1:22">
      <c r="E7" s="1">
        <v>8.1150000000000002</v>
      </c>
      <c r="F7" s="1">
        <v>9.3975000000000009</v>
      </c>
      <c r="G7" s="1">
        <f t="shared" si="0"/>
        <v>6.7777777777777777</v>
      </c>
      <c r="I7" s="1">
        <v>52</v>
      </c>
      <c r="J7" s="1">
        <v>3.0064000000000002</v>
      </c>
      <c r="K7" s="1">
        <v>42.245600000000003</v>
      </c>
      <c r="L7">
        <f t="shared" si="1"/>
        <v>7.1164807695949406E-2</v>
      </c>
      <c r="M7">
        <f t="shared" si="2"/>
        <v>0.41440192108266133</v>
      </c>
      <c r="N7">
        <f t="shared" si="3"/>
        <v>0.9854634111360947</v>
      </c>
      <c r="O7">
        <f t="shared" si="4"/>
        <v>0.98341925155948684</v>
      </c>
      <c r="P7">
        <f t="shared" si="5"/>
        <v>1.0020786247303644</v>
      </c>
      <c r="Q7">
        <f t="shared" si="6"/>
        <v>7.236466805291604E-2</v>
      </c>
      <c r="R7">
        <f t="shared" si="7"/>
        <v>0.41671793413107094</v>
      </c>
      <c r="S7">
        <f t="shared" si="8"/>
        <v>58.777777777777779</v>
      </c>
      <c r="T7">
        <f t="shared" si="9"/>
        <v>0.13038703591472392</v>
      </c>
      <c r="U7">
        <f t="shared" si="10"/>
        <v>130.38703591472392</v>
      </c>
    </row>
    <row r="8" spans="1:22">
      <c r="E8" s="1">
        <v>8.1150000000000002</v>
      </c>
      <c r="F8" s="1">
        <v>9.3975000000000009</v>
      </c>
      <c r="G8" s="1">
        <f t="shared" si="0"/>
        <v>6.7777777777777777</v>
      </c>
      <c r="I8" s="1">
        <v>53</v>
      </c>
      <c r="J8" s="1">
        <v>3.1381000000000001</v>
      </c>
      <c r="K8" s="1">
        <v>40.862200000000001</v>
      </c>
      <c r="L8">
        <f t="shared" si="1"/>
        <v>7.6797137696942408E-2</v>
      </c>
      <c r="M8">
        <f t="shared" si="2"/>
        <v>0.42505814696356609</v>
      </c>
      <c r="N8">
        <f t="shared" si="3"/>
        <v>0.98534965335243863</v>
      </c>
      <c r="O8">
        <f t="shared" si="4"/>
        <v>0.98364565872158083</v>
      </c>
      <c r="P8">
        <f t="shared" si="5"/>
        <v>1.0017323256761712</v>
      </c>
      <c r="Q8">
        <f t="shared" si="6"/>
        <v>7.8073986314089655E-2</v>
      </c>
      <c r="R8">
        <f t="shared" si="7"/>
        <v>0.42740091875497266</v>
      </c>
      <c r="S8">
        <f t="shared" si="8"/>
        <v>59.777777777777779</v>
      </c>
      <c r="T8">
        <f t="shared" si="9"/>
        <v>0.12939514389258044</v>
      </c>
      <c r="U8">
        <f t="shared" si="10"/>
        <v>129.39514389258045</v>
      </c>
    </row>
    <row r="9" spans="1:22">
      <c r="E9" s="1">
        <v>8.1150000000000002</v>
      </c>
      <c r="F9" s="1">
        <v>9.3975000000000009</v>
      </c>
      <c r="G9" s="1">
        <f t="shared" si="0"/>
        <v>6.7777777777777777</v>
      </c>
      <c r="I9" s="1">
        <v>54</v>
      </c>
      <c r="J9" s="1">
        <v>3.2452000000000001</v>
      </c>
      <c r="K9" s="1">
        <v>40.684399999999997</v>
      </c>
      <c r="L9">
        <f t="shared" si="1"/>
        <v>7.976521713482318E-2</v>
      </c>
      <c r="M9">
        <f t="shared" si="2"/>
        <v>0.43046500468434412</v>
      </c>
      <c r="N9">
        <f t="shared" si="3"/>
        <v>0.98536982376131688</v>
      </c>
      <c r="O9">
        <f t="shared" si="4"/>
        <v>0.9839484376983898</v>
      </c>
      <c r="P9">
        <f t="shared" si="5"/>
        <v>1.0014445737281232</v>
      </c>
      <c r="Q9">
        <f t="shared" si="6"/>
        <v>8.106646047572022E-2</v>
      </c>
      <c r="R9">
        <f t="shared" si="7"/>
        <v>0.43279317527594957</v>
      </c>
      <c r="S9">
        <f t="shared" si="8"/>
        <v>60.777777777777779</v>
      </c>
      <c r="T9">
        <f t="shared" si="9"/>
        <v>0.13099931211992541</v>
      </c>
      <c r="U9">
        <f t="shared" si="10"/>
        <v>130.99931211992541</v>
      </c>
    </row>
    <row r="10" spans="1:22">
      <c r="E10" s="1">
        <v>8.1150000000000002</v>
      </c>
      <c r="F10" s="1">
        <v>9.3975000000000009</v>
      </c>
      <c r="G10" s="1">
        <f t="shared" si="0"/>
        <v>6.7777777777777777</v>
      </c>
      <c r="I10" s="1">
        <v>55</v>
      </c>
      <c r="J10" s="1">
        <v>3.3374000000000001</v>
      </c>
      <c r="K10" s="1">
        <v>39.933399999999999</v>
      </c>
      <c r="L10">
        <f t="shared" si="1"/>
        <v>8.3574150961350652E-2</v>
      </c>
      <c r="M10">
        <f t="shared" si="2"/>
        <v>0.43721057487505377</v>
      </c>
      <c r="N10">
        <f t="shared" si="3"/>
        <v>0.98546579400727274</v>
      </c>
      <c r="O10">
        <f t="shared" si="4"/>
        <v>0.98428678656832991</v>
      </c>
      <c r="P10">
        <f t="shared" si="5"/>
        <v>1.0011978291845747</v>
      </c>
      <c r="Q10">
        <f t="shared" si="6"/>
        <v>8.490833373139961E-2</v>
      </c>
      <c r="R10">
        <f t="shared" si="7"/>
        <v>0.43952485508249889</v>
      </c>
      <c r="S10">
        <f t="shared" si="8"/>
        <v>61.777777777777779</v>
      </c>
      <c r="T10">
        <f t="shared" si="9"/>
        <v>0.1300617815756426</v>
      </c>
      <c r="U10">
        <f t="shared" si="10"/>
        <v>130.06178157564261</v>
      </c>
    </row>
    <row r="11" spans="1:22">
      <c r="E11" s="1">
        <v>8.1150000000000002</v>
      </c>
      <c r="F11" s="1">
        <v>9.3975000000000009</v>
      </c>
      <c r="G11" s="1">
        <f t="shared" si="0"/>
        <v>6.7777777777777777</v>
      </c>
      <c r="I11" s="1">
        <v>60</v>
      </c>
      <c r="J11" s="1">
        <v>3.8891</v>
      </c>
      <c r="K11" s="1">
        <v>36.376199999999997</v>
      </c>
      <c r="L11">
        <f t="shared" si="1"/>
        <v>0.10691331145089372</v>
      </c>
      <c r="M11">
        <f t="shared" si="2"/>
        <v>0.47461769637581935</v>
      </c>
      <c r="N11">
        <f t="shared" si="3"/>
        <v>0.98558955572416662</v>
      </c>
      <c r="O11">
        <f t="shared" si="4"/>
        <v>0.9854568334079058</v>
      </c>
      <c r="P11">
        <f t="shared" si="5"/>
        <v>1.0001346810045468</v>
      </c>
      <c r="Q11">
        <f t="shared" si="6"/>
        <v>0.10849111582205608</v>
      </c>
      <c r="R11">
        <f t="shared" si="7"/>
        <v>0.4769410739633646</v>
      </c>
      <c r="S11">
        <f t="shared" si="8"/>
        <v>66.777777777777771</v>
      </c>
      <c r="T11">
        <f t="shared" si="9"/>
        <v>0.12758819559054496</v>
      </c>
      <c r="U11">
        <f t="shared" si="10"/>
        <v>127.58819559054496</v>
      </c>
    </row>
    <row r="12" spans="1:22">
      <c r="E12" s="1">
        <v>8.1150000000000002</v>
      </c>
      <c r="F12" s="1">
        <v>9.3975000000000009</v>
      </c>
      <c r="G12" s="1">
        <f t="shared" si="0"/>
        <v>6.7777777777777777</v>
      </c>
      <c r="I12" s="1">
        <v>65</v>
      </c>
      <c r="J12" s="1">
        <v>4.5148999999999999</v>
      </c>
      <c r="K12" s="1">
        <v>34.281399999999998</v>
      </c>
      <c r="L12">
        <f t="shared" si="1"/>
        <v>0.13170115572876254</v>
      </c>
      <c r="M12">
        <f t="shared" si="2"/>
        <v>0.50877980206910023</v>
      </c>
      <c r="N12">
        <f t="shared" si="3"/>
        <v>0.98554487175076921</v>
      </c>
      <c r="O12">
        <f t="shared" si="4"/>
        <v>0.98618547751309449</v>
      </c>
      <c r="P12">
        <f t="shared" si="5"/>
        <v>0.99935042060856472</v>
      </c>
      <c r="Q12">
        <f t="shared" si="6"/>
        <v>0.13354603036832269</v>
      </c>
      <c r="R12">
        <f t="shared" si="7"/>
        <v>0.51114446351442044</v>
      </c>
      <c r="S12">
        <f t="shared" si="8"/>
        <v>71.777777777777771</v>
      </c>
      <c r="T12">
        <f t="shared" si="9"/>
        <v>0.12976333770476878</v>
      </c>
      <c r="U12">
        <f t="shared" si="10"/>
        <v>129.76333770476879</v>
      </c>
    </row>
    <row r="13" spans="1:22">
      <c r="E13" s="1">
        <v>8.1150000000000002</v>
      </c>
      <c r="F13" s="1">
        <v>9.3975000000000009</v>
      </c>
      <c r="G13" s="1">
        <f t="shared" si="0"/>
        <v>6.7777777777777777</v>
      </c>
      <c r="I13" s="1">
        <v>70</v>
      </c>
      <c r="J13" s="1">
        <v>5.2740999999999998</v>
      </c>
      <c r="K13" s="1">
        <v>32.858499999999999</v>
      </c>
      <c r="L13">
        <f t="shared" si="1"/>
        <v>0.16050945721807142</v>
      </c>
      <c r="M13">
        <f t="shared" si="2"/>
        <v>0.54345911269091129</v>
      </c>
      <c r="N13">
        <f t="shared" si="3"/>
        <v>0.9851951384708163</v>
      </c>
      <c r="O13">
        <f t="shared" si="4"/>
        <v>0.98647139174988585</v>
      </c>
      <c r="P13">
        <f t="shared" si="5"/>
        <v>0.99870624400287411</v>
      </c>
      <c r="Q13">
        <f t="shared" si="6"/>
        <v>0.16271070662611539</v>
      </c>
      <c r="R13">
        <f t="shared" si="7"/>
        <v>0.54593219987832042</v>
      </c>
      <c r="S13">
        <f t="shared" si="8"/>
        <v>76.777777777777771</v>
      </c>
      <c r="T13">
        <f t="shared" si="9"/>
        <v>0.13574250287072617</v>
      </c>
      <c r="U13">
        <f t="shared" si="10"/>
        <v>135.74250287072618</v>
      </c>
    </row>
    <row r="14" spans="1:22">
      <c r="E14" s="1">
        <v>8.1150000000000002</v>
      </c>
      <c r="F14" s="1">
        <v>9.3975000000000009</v>
      </c>
      <c r="G14" s="1">
        <f t="shared" si="0"/>
        <v>6.7777777777777777</v>
      </c>
      <c r="I14" s="1">
        <v>75</v>
      </c>
      <c r="J14" s="1">
        <v>5.8967000000000001</v>
      </c>
      <c r="K14" s="1">
        <v>30.744</v>
      </c>
      <c r="L14">
        <f t="shared" si="1"/>
        <v>0.1918000260213375</v>
      </c>
      <c r="M14">
        <f t="shared" si="2"/>
        <v>0.57669947216953499</v>
      </c>
      <c r="N14">
        <f t="shared" si="3"/>
        <v>0.98538508408586667</v>
      </c>
      <c r="O14">
        <f t="shared" si="4"/>
        <v>0.98702315521744377</v>
      </c>
      <c r="P14">
        <f t="shared" si="5"/>
        <v>0.99834039239817407</v>
      </c>
      <c r="Q14">
        <f t="shared" si="6"/>
        <v>0.19432170867266377</v>
      </c>
      <c r="R14">
        <f t="shared" si="7"/>
        <v>0.57921585340208193</v>
      </c>
      <c r="S14">
        <f t="shared" si="8"/>
        <v>81.777777777777771</v>
      </c>
      <c r="T14">
        <f t="shared" si="9"/>
        <v>0.13326934834024126</v>
      </c>
      <c r="U14">
        <f t="shared" si="10"/>
        <v>133.26934834024127</v>
      </c>
    </row>
    <row r="15" spans="1:22">
      <c r="E15" s="1">
        <v>8.1150000000000002</v>
      </c>
      <c r="F15" s="1">
        <v>9.3975000000000009</v>
      </c>
      <c r="G15" s="1">
        <f t="shared" si="0"/>
        <v>6.7777777777777777</v>
      </c>
      <c r="I15" s="1">
        <v>80</v>
      </c>
      <c r="J15" s="1">
        <v>6.6360999999999999</v>
      </c>
      <c r="K15" s="1">
        <v>29.1037</v>
      </c>
      <c r="L15">
        <f t="shared" si="1"/>
        <v>0.22801568185488444</v>
      </c>
      <c r="M15">
        <f t="shared" si="2"/>
        <v>0.61092548028488869</v>
      </c>
      <c r="N15">
        <f t="shared" si="3"/>
        <v>0.98531417590421877</v>
      </c>
      <c r="O15">
        <f t="shared" si="4"/>
        <v>0.98727414215157128</v>
      </c>
      <c r="P15">
        <f t="shared" si="5"/>
        <v>0.99801476999784366</v>
      </c>
      <c r="Q15">
        <f t="shared" si="6"/>
        <v>0.23095477954883814</v>
      </c>
      <c r="R15">
        <f t="shared" si="7"/>
        <v>0.61353920335873735</v>
      </c>
      <c r="S15">
        <f t="shared" si="8"/>
        <v>86.777777777777771</v>
      </c>
      <c r="T15">
        <f t="shared" si="9"/>
        <v>0.13375409973415117</v>
      </c>
      <c r="U15">
        <f t="shared" si="10"/>
        <v>133.75409973415117</v>
      </c>
    </row>
    <row r="16" spans="1:22">
      <c r="E16" s="1">
        <v>8.1150000000000002</v>
      </c>
      <c r="F16" s="1">
        <v>9.3975000000000009</v>
      </c>
      <c r="G16" s="1">
        <f t="shared" si="0"/>
        <v>6.7777777777777777</v>
      </c>
      <c r="I16" s="1">
        <v>85</v>
      </c>
      <c r="J16" s="1">
        <v>7.4316000000000004</v>
      </c>
      <c r="K16" s="1">
        <v>27.028700000000001</v>
      </c>
      <c r="L16">
        <f t="shared" si="1"/>
        <v>0.27495218046002956</v>
      </c>
      <c r="M16">
        <f t="shared" si="2"/>
        <v>0.6502580280984428</v>
      </c>
      <c r="N16">
        <f t="shared" si="3"/>
        <v>0.98518619313937716</v>
      </c>
      <c r="O16">
        <f t="shared" si="4"/>
        <v>0.98740733448556994</v>
      </c>
      <c r="P16">
        <f t="shared" si="5"/>
        <v>0.99775053185385754</v>
      </c>
      <c r="Q16">
        <f t="shared" si="6"/>
        <v>0.27845871795481153</v>
      </c>
      <c r="R16">
        <f t="shared" si="7"/>
        <v>0.65301066326153367</v>
      </c>
      <c r="S16">
        <f t="shared" si="8"/>
        <v>91.777777777777771</v>
      </c>
      <c r="T16">
        <f t="shared" si="9"/>
        <v>0.13149506242359277</v>
      </c>
      <c r="U16">
        <f t="shared" si="10"/>
        <v>131.49506242359277</v>
      </c>
    </row>
    <row r="17" spans="5:21">
      <c r="E17" s="1">
        <v>8.1150000000000002</v>
      </c>
      <c r="F17" s="1">
        <v>9.3975000000000009</v>
      </c>
      <c r="G17" s="1">
        <f t="shared" si="0"/>
        <v>6.7777777777777777</v>
      </c>
      <c r="I17" s="1">
        <v>90</v>
      </c>
      <c r="J17" s="1">
        <v>8.2928999999999995</v>
      </c>
      <c r="K17" s="1">
        <v>25.645299999999999</v>
      </c>
      <c r="L17">
        <f t="shared" si="1"/>
        <v>0.32336919435530098</v>
      </c>
      <c r="M17">
        <f t="shared" si="2"/>
        <v>0.68638252001685296</v>
      </c>
      <c r="N17">
        <f t="shared" si="3"/>
        <v>0.98499049600333333</v>
      </c>
      <c r="O17">
        <f t="shared" si="4"/>
        <v>0.98743343479766099</v>
      </c>
      <c r="P17">
        <f t="shared" si="5"/>
        <v>0.99752597116095398</v>
      </c>
      <c r="Q17">
        <f t="shared" si="6"/>
        <v>0.32748455030952428</v>
      </c>
      <c r="R17">
        <f t="shared" si="7"/>
        <v>0.68928200206618295</v>
      </c>
      <c r="S17">
        <f t="shared" si="8"/>
        <v>96.777777777777771</v>
      </c>
      <c r="T17">
        <f t="shared" si="9"/>
        <v>0.13200193875124408</v>
      </c>
      <c r="U17">
        <f t="shared" si="10"/>
        <v>132.00193875124407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602F-4A21-41FD-98AA-8F0408543FA4}">
  <dimension ref="A1:V17"/>
  <sheetViews>
    <sheetView topLeftCell="N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6.58203125" bestFit="1" customWidth="1"/>
    <col min="6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4" width="12.33203125" bestFit="1" customWidth="1"/>
    <col min="15" max="15" width="11.25" bestFit="1" customWidth="1"/>
    <col min="16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40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39</v>
      </c>
      <c r="B2" s="2">
        <v>3.843</v>
      </c>
      <c r="C2" s="2">
        <v>24.896999999999998</v>
      </c>
      <c r="D2" s="2">
        <v>45</v>
      </c>
      <c r="E2" s="2">
        <v>8.2817000000000007</v>
      </c>
      <c r="F2" s="2">
        <v>9.5374999999999996</v>
      </c>
      <c r="G2" s="2">
        <f>0.08196/0.00682</f>
        <v>12.01759530791789</v>
      </c>
      <c r="H2" s="2" t="s">
        <v>9</v>
      </c>
      <c r="I2" s="2">
        <v>45</v>
      </c>
      <c r="J2" s="2">
        <v>2.5175000000000001</v>
      </c>
      <c r="K2" s="2">
        <v>44.835500000000003</v>
      </c>
      <c r="L2" s="3">
        <f>J2:J25/K2:K25</f>
        <v>5.614970280246679E-2</v>
      </c>
      <c r="M2" s="3">
        <f>(L2:L25)^(1/3)</f>
        <v>0.38292685126324083</v>
      </c>
      <c r="N2" s="3">
        <f>1-((3/10)*(J2:J25/I2:I25)^2)-((3/2)*((J2:J25*E2)/(I2:I25)^2))</f>
        <v>0.98361722888888892</v>
      </c>
      <c r="O2" s="3">
        <f>1-(F2/I2:I25)^3-((9/8)*(1-(F2/I2:I25)^2)*((J2:J25*E2)/I2:I25^2))-((9/35)*(J2:J25/I2:I25)^2)</f>
        <v>0.97861199031856971</v>
      </c>
      <c r="P2" s="3">
        <f>N2:N25/O2:O25</f>
        <v>1.0051146303334071</v>
      </c>
      <c r="Q2" s="3">
        <f>L2:L25/O2:O25</f>
        <v>5.7376880068870047E-2</v>
      </c>
      <c r="R2" s="3">
        <f>Q2:Q25^(1/3)</f>
        <v>0.38569645135139186</v>
      </c>
      <c r="S2" s="3">
        <f>I2:I25+G2</f>
        <v>57.017595307917887</v>
      </c>
      <c r="T2" s="3">
        <f>(P2:P25*3*K2:K25*J2:J25)/(2*24.897*S2:S25)</f>
        <v>0.11987881289888062</v>
      </c>
      <c r="U2" s="3">
        <f>T2:T25*1000</f>
        <v>119.87881289888062</v>
      </c>
      <c r="V2">
        <f>AVERAGE(U3:U17)</f>
        <v>124.84962775093986</v>
      </c>
    </row>
    <row r="3" spans="1:22">
      <c r="E3" s="1">
        <v>8.2817000000000007</v>
      </c>
      <c r="F3" s="1">
        <v>9.5374999999999996</v>
      </c>
      <c r="G3" s="1">
        <f t="shared" ref="G3:G17" si="0">0.08196/0.00682</f>
        <v>12.01759530791789</v>
      </c>
      <c r="I3" s="1">
        <v>46</v>
      </c>
      <c r="J3" s="1">
        <v>2.6309</v>
      </c>
      <c r="K3" s="1">
        <v>43.786999999999999</v>
      </c>
      <c r="L3">
        <f t="shared" ref="L3:L17" si="1">J3:J26/K3:K26</f>
        <v>6.0084043209171677E-2</v>
      </c>
      <c r="M3">
        <f t="shared" ref="M3:M17" si="2">(L3:L26)^(1/3)</f>
        <v>0.39166946663841179</v>
      </c>
      <c r="N3">
        <f t="shared" ref="N3:N17" si="3">1-((3/10)*(J3:J26/I3:I26)^2)-((3/2)*((J3:J26*E3)/(I3:I26)^2))</f>
        <v>0.98357326217485819</v>
      </c>
      <c r="O3">
        <f t="shared" ref="O3:O17" si="4">1-(F3/I3:I26)^3-((9/8)*(1-(F3/I3:I26)^2)*((J3:J26*E3)/I3:I26^2))-((9/35)*(J3:J26/I3:I26)^2)</f>
        <v>0.97915965858845144</v>
      </c>
      <c r="P3">
        <f t="shared" ref="P3:P17" si="5">N3:N26/O3:O26</f>
        <v>1.0045075423070118</v>
      </c>
      <c r="Q3">
        <f t="shared" ref="Q3:Q17" si="6">L3:L26/O3:O26</f>
        <v>6.1362866292702808E-2</v>
      </c>
      <c r="R3">
        <f t="shared" ref="R3:R17" si="7">Q3:Q26^(1/3)</f>
        <v>0.39442873420021313</v>
      </c>
      <c r="S3">
        <f t="shared" ref="S3:S17" si="8">I3:I26+G3</f>
        <v>58.017595307917887</v>
      </c>
      <c r="T3">
        <f t="shared" ref="T3:T17" si="9">(P3:P26*3*K3:K26*J3:J26)/(2*24.897*S3:S26)</f>
        <v>0.12016756182071128</v>
      </c>
      <c r="U3">
        <f t="shared" ref="U3:U17" si="10">T3:T26*1000</f>
        <v>120.16756182071128</v>
      </c>
    </row>
    <row r="4" spans="1:22">
      <c r="E4" s="1">
        <v>8.2817000000000007</v>
      </c>
      <c r="F4" s="1">
        <v>9.5374999999999996</v>
      </c>
      <c r="G4" s="1">
        <f t="shared" si="0"/>
        <v>12.01759530791789</v>
      </c>
      <c r="I4" s="1">
        <v>47</v>
      </c>
      <c r="J4" s="1">
        <v>2.7675999999999998</v>
      </c>
      <c r="K4" s="1">
        <v>43.075600000000001</v>
      </c>
      <c r="L4">
        <f t="shared" si="1"/>
        <v>6.4249830530509144E-2</v>
      </c>
      <c r="M4">
        <f t="shared" si="2"/>
        <v>0.40051980448752783</v>
      </c>
      <c r="N4">
        <f t="shared" si="3"/>
        <v>0.98339586586328653</v>
      </c>
      <c r="O4">
        <f t="shared" si="4"/>
        <v>0.97955989798306153</v>
      </c>
      <c r="P4">
        <f t="shared" si="5"/>
        <v>1.0039160115559276</v>
      </c>
      <c r="Q4">
        <f t="shared" si="6"/>
        <v>6.5590507188790767E-2</v>
      </c>
      <c r="R4">
        <f t="shared" si="7"/>
        <v>0.40328648030893088</v>
      </c>
      <c r="S4">
        <f t="shared" si="8"/>
        <v>59.017595307917887</v>
      </c>
      <c r="T4">
        <f t="shared" si="9"/>
        <v>0.12217849410111899</v>
      </c>
      <c r="U4">
        <f t="shared" si="10"/>
        <v>122.17849410111899</v>
      </c>
    </row>
    <row r="5" spans="1:22">
      <c r="E5" s="1">
        <v>8.2817000000000007</v>
      </c>
      <c r="F5" s="1">
        <v>9.5374999999999996</v>
      </c>
      <c r="G5" s="1">
        <f t="shared" si="0"/>
        <v>12.01759530791789</v>
      </c>
      <c r="I5" s="1">
        <v>48</v>
      </c>
      <c r="J5" s="1">
        <v>2.8548</v>
      </c>
      <c r="K5" s="1">
        <v>42.482700000000001</v>
      </c>
      <c r="L5">
        <f t="shared" si="1"/>
        <v>6.7199118700082619E-2</v>
      </c>
      <c r="M5">
        <f t="shared" si="2"/>
        <v>0.4065567654363757</v>
      </c>
      <c r="N5">
        <f t="shared" si="3"/>
        <v>0.98354650145312505</v>
      </c>
      <c r="O5">
        <f t="shared" si="4"/>
        <v>0.98015718932447016</v>
      </c>
      <c r="P5">
        <f t="shared" si="5"/>
        <v>1.0034579271218638</v>
      </c>
      <c r="Q5">
        <f t="shared" si="6"/>
        <v>6.8559532523958355E-2</v>
      </c>
      <c r="R5">
        <f t="shared" si="7"/>
        <v>0.40928197253841225</v>
      </c>
      <c r="S5">
        <f t="shared" si="8"/>
        <v>60.017595307917887</v>
      </c>
      <c r="T5">
        <f t="shared" si="9"/>
        <v>0.12216663617062787</v>
      </c>
      <c r="U5">
        <f t="shared" si="10"/>
        <v>122.16663617062787</v>
      </c>
    </row>
    <row r="6" spans="1:22">
      <c r="E6" s="1">
        <v>8.2817000000000007</v>
      </c>
      <c r="F6" s="1">
        <v>9.5374999999999996</v>
      </c>
      <c r="G6" s="1">
        <f t="shared" si="0"/>
        <v>12.01759530791789</v>
      </c>
      <c r="I6" s="1">
        <v>49</v>
      </c>
      <c r="J6" s="1">
        <v>2.952</v>
      </c>
      <c r="K6" s="1">
        <v>41.435299999999998</v>
      </c>
      <c r="L6">
        <f t="shared" si="1"/>
        <v>7.1243601470243972E-2</v>
      </c>
      <c r="M6">
        <f t="shared" si="2"/>
        <v>0.41455480679969586</v>
      </c>
      <c r="N6">
        <f t="shared" si="3"/>
        <v>0.98363779308621413</v>
      </c>
      <c r="O6">
        <f t="shared" si="4"/>
        <v>0.98067145892822838</v>
      </c>
      <c r="P6">
        <f t="shared" si="5"/>
        <v>1.003024799111853</v>
      </c>
      <c r="Q6">
        <f t="shared" si="6"/>
        <v>7.2647777011993195E-2</v>
      </c>
      <c r="R6">
        <f t="shared" si="7"/>
        <v>0.41726066244405036</v>
      </c>
      <c r="S6">
        <f t="shared" si="8"/>
        <v>61.017595307917887</v>
      </c>
      <c r="T6">
        <f t="shared" si="9"/>
        <v>0.12114002615195346</v>
      </c>
      <c r="U6">
        <f t="shared" si="10"/>
        <v>121.14002615195346</v>
      </c>
    </row>
    <row r="7" spans="1:22">
      <c r="E7" s="1">
        <v>8.2817000000000007</v>
      </c>
      <c r="F7" s="1">
        <v>9.5374999999999996</v>
      </c>
      <c r="G7" s="1">
        <f t="shared" si="0"/>
        <v>12.01759530791789</v>
      </c>
      <c r="I7" s="1">
        <v>50</v>
      </c>
      <c r="J7" s="1">
        <v>3.0228000000000002</v>
      </c>
      <c r="K7" s="1">
        <v>41.2575</v>
      </c>
      <c r="L7">
        <f t="shared" si="1"/>
        <v>7.3266678785675332E-2</v>
      </c>
      <c r="M7">
        <f t="shared" si="2"/>
        <v>0.41844222404918147</v>
      </c>
      <c r="N7">
        <f t="shared" si="3"/>
        <v>0.98388316796320008</v>
      </c>
      <c r="O7">
        <f t="shared" si="4"/>
        <v>0.98126424311155258</v>
      </c>
      <c r="P7">
        <f t="shared" si="5"/>
        <v>1.0026689292614424</v>
      </c>
      <c r="Q7">
        <f t="shared" si="6"/>
        <v>7.4665595225756318E-2</v>
      </c>
      <c r="R7">
        <f t="shared" si="7"/>
        <v>0.42108862566564892</v>
      </c>
      <c r="S7">
        <f t="shared" si="8"/>
        <v>62.017595307917887</v>
      </c>
      <c r="T7">
        <f t="shared" si="9"/>
        <v>0.1214784371881593</v>
      </c>
      <c r="U7">
        <f t="shared" si="10"/>
        <v>121.4784371881593</v>
      </c>
    </row>
    <row r="8" spans="1:22">
      <c r="E8" s="1">
        <v>8.2817000000000007</v>
      </c>
      <c r="F8" s="1">
        <v>9.5374999999999996</v>
      </c>
      <c r="G8" s="1">
        <f t="shared" si="0"/>
        <v>12.01759530791789</v>
      </c>
      <c r="I8" s="1">
        <v>51</v>
      </c>
      <c r="J8" s="1">
        <v>3.1332</v>
      </c>
      <c r="K8" s="1">
        <v>40.783200000000001</v>
      </c>
      <c r="L8">
        <f t="shared" si="1"/>
        <v>7.6825751780144766E-2</v>
      </c>
      <c r="M8">
        <f t="shared" si="2"/>
        <v>0.4251109316518471</v>
      </c>
      <c r="N8">
        <f t="shared" si="3"/>
        <v>0.98390333858823531</v>
      </c>
      <c r="O8">
        <f t="shared" si="4"/>
        <v>0.98165846376808474</v>
      </c>
      <c r="P8">
        <f t="shared" si="5"/>
        <v>1.0022868185861034</v>
      </c>
      <c r="Q8">
        <f t="shared" si="6"/>
        <v>7.8261182086944991E-2</v>
      </c>
      <c r="R8">
        <f t="shared" si="7"/>
        <v>0.42774223511441739</v>
      </c>
      <c r="S8">
        <f t="shared" si="8"/>
        <v>63.017595307917887</v>
      </c>
      <c r="T8">
        <f t="shared" si="9"/>
        <v>0.12244578750120899</v>
      </c>
      <c r="U8">
        <f t="shared" si="10"/>
        <v>122.445787501209</v>
      </c>
    </row>
    <row r="9" spans="1:22">
      <c r="E9" s="1">
        <v>8.2817000000000007</v>
      </c>
      <c r="F9" s="1">
        <v>9.5374999999999996</v>
      </c>
      <c r="G9" s="1">
        <f t="shared" si="0"/>
        <v>12.01759530791789</v>
      </c>
      <c r="I9" s="1">
        <v>52</v>
      </c>
      <c r="J9" s="1">
        <v>3.2484000000000002</v>
      </c>
      <c r="K9" s="1">
        <v>39.696199999999997</v>
      </c>
      <c r="L9">
        <f t="shared" si="1"/>
        <v>8.1831510320887146E-2</v>
      </c>
      <c r="M9">
        <f t="shared" si="2"/>
        <v>0.4341503834450387</v>
      </c>
      <c r="N9">
        <f t="shared" si="3"/>
        <v>0.98390567966420117</v>
      </c>
      <c r="O9">
        <f t="shared" si="4"/>
        <v>0.98201023311826274</v>
      </c>
      <c r="P9">
        <f t="shared" si="5"/>
        <v>1.001930169851611</v>
      </c>
      <c r="Q9">
        <f t="shared" si="6"/>
        <v>8.3330608542683329E-2</v>
      </c>
      <c r="R9">
        <f t="shared" si="7"/>
        <v>0.43678547166849674</v>
      </c>
      <c r="S9">
        <f t="shared" si="8"/>
        <v>64.017595307917887</v>
      </c>
      <c r="T9">
        <f t="shared" si="9"/>
        <v>0.12159081627997183</v>
      </c>
      <c r="U9">
        <f t="shared" si="10"/>
        <v>121.59081627997183</v>
      </c>
    </row>
    <row r="10" spans="1:22">
      <c r="E10" s="1">
        <v>8.2817000000000007</v>
      </c>
      <c r="F10" s="1">
        <v>9.5374999999999996</v>
      </c>
      <c r="G10" s="1">
        <f t="shared" si="0"/>
        <v>12.01759530791789</v>
      </c>
      <c r="I10" s="1">
        <v>55</v>
      </c>
      <c r="J10" s="1">
        <v>3.6025</v>
      </c>
      <c r="K10" s="1">
        <v>38.134999999999998</v>
      </c>
      <c r="L10">
        <f t="shared" si="1"/>
        <v>9.4467025042611785E-2</v>
      </c>
      <c r="M10">
        <f t="shared" si="2"/>
        <v>0.45543536004543811</v>
      </c>
      <c r="N10">
        <f t="shared" si="3"/>
        <v>0.98391879727272724</v>
      </c>
      <c r="O10">
        <f t="shared" si="4"/>
        <v>0.98292031456495221</v>
      </c>
      <c r="P10">
        <f t="shared" si="5"/>
        <v>1.0010158328126699</v>
      </c>
      <c r="Q10">
        <f t="shared" si="6"/>
        <v>9.6108528476617744E-2</v>
      </c>
      <c r="R10">
        <f t="shared" si="7"/>
        <v>0.45805817939152005</v>
      </c>
      <c r="S10">
        <f t="shared" si="8"/>
        <v>67.017595307917887</v>
      </c>
      <c r="T10">
        <f t="shared" si="9"/>
        <v>0.12363006169745439</v>
      </c>
      <c r="U10">
        <f t="shared" si="10"/>
        <v>123.63006169745438</v>
      </c>
    </row>
    <row r="11" spans="1:22">
      <c r="E11" s="1">
        <v>8.2817000000000007</v>
      </c>
      <c r="F11" s="1">
        <v>9.5374999999999996</v>
      </c>
      <c r="G11" s="1">
        <f t="shared" si="0"/>
        <v>12.01759530791789</v>
      </c>
      <c r="I11" s="1">
        <v>60</v>
      </c>
      <c r="J11" s="1">
        <v>4.1986999999999997</v>
      </c>
      <c r="K11" s="1">
        <v>35.763599999999997</v>
      </c>
      <c r="L11">
        <f t="shared" si="1"/>
        <v>0.11740149201981903</v>
      </c>
      <c r="M11">
        <f t="shared" si="2"/>
        <v>0.4896561408426629</v>
      </c>
      <c r="N11">
        <f t="shared" si="3"/>
        <v>0.98404242078000004</v>
      </c>
      <c r="O11">
        <f t="shared" si="4"/>
        <v>0.98413246202567084</v>
      </c>
      <c r="P11">
        <f t="shared" si="5"/>
        <v>0.99990850698544642</v>
      </c>
      <c r="Q11">
        <f t="shared" si="6"/>
        <v>0.11929440044906947</v>
      </c>
      <c r="R11">
        <f t="shared" si="7"/>
        <v>0.49227375929641737</v>
      </c>
      <c r="S11">
        <f t="shared" si="8"/>
        <v>72.017595307917887</v>
      </c>
      <c r="T11">
        <f t="shared" si="9"/>
        <v>0.12560934788684588</v>
      </c>
      <c r="U11">
        <f t="shared" si="10"/>
        <v>125.60934788684588</v>
      </c>
    </row>
    <row r="12" spans="1:22">
      <c r="E12" s="1">
        <v>8.2817000000000007</v>
      </c>
      <c r="F12" s="1">
        <v>9.5374999999999996</v>
      </c>
      <c r="G12" s="1">
        <f t="shared" si="0"/>
        <v>12.01759530791789</v>
      </c>
      <c r="I12" s="1">
        <v>65</v>
      </c>
      <c r="J12" s="1">
        <v>4.8756000000000004</v>
      </c>
      <c r="K12" s="1">
        <v>34.261600000000001</v>
      </c>
      <c r="L12">
        <f t="shared" si="1"/>
        <v>0.14230508791183133</v>
      </c>
      <c r="M12">
        <f t="shared" si="2"/>
        <v>0.52208371003765686</v>
      </c>
      <c r="N12">
        <f t="shared" si="3"/>
        <v>0.98397660890224847</v>
      </c>
      <c r="O12">
        <f t="shared" si="4"/>
        <v>0.98487398829254458</v>
      </c>
      <c r="P12">
        <f t="shared" si="5"/>
        <v>0.99908883836819384</v>
      </c>
      <c r="Q12">
        <f t="shared" si="6"/>
        <v>0.14449065525483384</v>
      </c>
      <c r="R12">
        <f t="shared" si="7"/>
        <v>0.5247429190374554</v>
      </c>
      <c r="S12">
        <f t="shared" si="8"/>
        <v>77.017595307917887</v>
      </c>
      <c r="T12">
        <f t="shared" si="9"/>
        <v>0.13055517794091215</v>
      </c>
      <c r="U12">
        <f t="shared" si="10"/>
        <v>130.55517794091216</v>
      </c>
    </row>
    <row r="13" spans="1:22">
      <c r="E13" s="1">
        <v>8.2817000000000007</v>
      </c>
      <c r="F13" s="1">
        <v>9.5374999999999996</v>
      </c>
      <c r="G13" s="1">
        <f t="shared" si="0"/>
        <v>12.01759530791789</v>
      </c>
      <c r="I13" s="1">
        <v>70</v>
      </c>
      <c r="J13" s="1">
        <v>5.5228000000000002</v>
      </c>
      <c r="K13" s="1">
        <v>30.8033</v>
      </c>
      <c r="L13">
        <f t="shared" si="1"/>
        <v>0.17929247840328796</v>
      </c>
      <c r="M13">
        <f t="shared" si="2"/>
        <v>0.56388086446644725</v>
      </c>
      <c r="N13">
        <f t="shared" si="3"/>
        <v>0.98413109079755101</v>
      </c>
      <c r="O13">
        <f t="shared" si="4"/>
        <v>0.98556382632104556</v>
      </c>
      <c r="P13">
        <f t="shared" si="5"/>
        <v>0.99854627829752773</v>
      </c>
      <c r="Q13">
        <f t="shared" si="6"/>
        <v>0.18191868818132106</v>
      </c>
      <c r="R13">
        <f t="shared" si="7"/>
        <v>0.56662070295759626</v>
      </c>
      <c r="S13">
        <f t="shared" si="8"/>
        <v>82.017595307917887</v>
      </c>
      <c r="T13">
        <f t="shared" si="9"/>
        <v>0.12478488033202645</v>
      </c>
      <c r="U13">
        <f t="shared" si="10"/>
        <v>124.78488033202645</v>
      </c>
    </row>
    <row r="14" spans="1:22">
      <c r="E14" s="1">
        <v>8.2817000000000007</v>
      </c>
      <c r="F14" s="1">
        <v>9.5374999999999996</v>
      </c>
      <c r="G14" s="1">
        <f t="shared" si="0"/>
        <v>12.01759530791789</v>
      </c>
      <c r="I14" s="1">
        <v>75</v>
      </c>
      <c r="J14" s="1">
        <v>6.0679999999999996</v>
      </c>
      <c r="K14" s="1">
        <v>30.1709</v>
      </c>
      <c r="L14">
        <f t="shared" si="1"/>
        <v>0.20112094766811728</v>
      </c>
      <c r="M14">
        <f t="shared" si="2"/>
        <v>0.58589406976436365</v>
      </c>
      <c r="N14">
        <f t="shared" si="3"/>
        <v>0.98463533856000007</v>
      </c>
      <c r="O14">
        <f t="shared" si="4"/>
        <v>0.98637217529841337</v>
      </c>
      <c r="P14">
        <f t="shared" si="5"/>
        <v>0.99823916693727921</v>
      </c>
      <c r="Q14">
        <f t="shared" si="6"/>
        <v>0.20389965644283395</v>
      </c>
      <c r="R14">
        <f t="shared" si="7"/>
        <v>0.58857999641878922</v>
      </c>
      <c r="S14">
        <f t="shared" si="8"/>
        <v>87.017595307917887</v>
      </c>
      <c r="T14">
        <f t="shared" si="9"/>
        <v>0.12653352460537759</v>
      </c>
      <c r="U14">
        <f t="shared" si="10"/>
        <v>126.53352460537759</v>
      </c>
    </row>
    <row r="15" spans="1:22">
      <c r="E15" s="1">
        <v>8.2817000000000007</v>
      </c>
      <c r="F15" s="1">
        <v>9.5374999999999996</v>
      </c>
      <c r="G15" s="1">
        <f t="shared" si="0"/>
        <v>12.01759530791789</v>
      </c>
      <c r="I15" s="1">
        <v>80</v>
      </c>
      <c r="J15" s="1">
        <v>6.8781999999999996</v>
      </c>
      <c r="K15" s="1">
        <v>28.352799999999998</v>
      </c>
      <c r="L15">
        <f t="shared" si="1"/>
        <v>0.24259332411613668</v>
      </c>
      <c r="M15">
        <f t="shared" si="2"/>
        <v>0.62367683734080737</v>
      </c>
      <c r="N15">
        <f t="shared" si="3"/>
        <v>0.98443161344031249</v>
      </c>
      <c r="O15">
        <f t="shared" si="4"/>
        <v>0.98653395337030247</v>
      </c>
      <c r="P15">
        <f t="shared" si="5"/>
        <v>0.99786896343221865</v>
      </c>
      <c r="Q15">
        <f t="shared" si="6"/>
        <v>0.24590468811272384</v>
      </c>
      <c r="R15">
        <f t="shared" si="7"/>
        <v>0.6265017226925842</v>
      </c>
      <c r="S15">
        <f t="shared" si="8"/>
        <v>92.017595307917887</v>
      </c>
      <c r="T15">
        <f t="shared" si="9"/>
        <v>0.12741414060975212</v>
      </c>
      <c r="U15">
        <f t="shared" si="10"/>
        <v>127.41414060975212</v>
      </c>
    </row>
    <row r="16" spans="1:22">
      <c r="E16" s="1">
        <v>8.2817000000000007</v>
      </c>
      <c r="F16" s="1">
        <v>9.5374999999999996</v>
      </c>
      <c r="G16" s="1">
        <f t="shared" si="0"/>
        <v>12.01759530791789</v>
      </c>
      <c r="I16" s="1">
        <v>85</v>
      </c>
      <c r="J16" s="1">
        <v>7.7263999999999999</v>
      </c>
      <c r="K16" s="1">
        <v>27.127500000000001</v>
      </c>
      <c r="L16">
        <f t="shared" si="1"/>
        <v>0.28481798912542622</v>
      </c>
      <c r="M16">
        <f t="shared" si="2"/>
        <v>0.65794431485031002</v>
      </c>
      <c r="N16">
        <f t="shared" si="3"/>
        <v>0.98423657198505188</v>
      </c>
      <c r="O16">
        <f t="shared" si="4"/>
        <v>0.98662459742083608</v>
      </c>
      <c r="P16">
        <f t="shared" si="5"/>
        <v>0.99757960074984264</v>
      </c>
      <c r="Q16">
        <f t="shared" si="6"/>
        <v>0.28867918950123195</v>
      </c>
      <c r="R16">
        <f t="shared" si="7"/>
        <v>0.66090417054162931</v>
      </c>
      <c r="S16">
        <f t="shared" si="8"/>
        <v>97.017595307917887</v>
      </c>
      <c r="T16">
        <f t="shared" si="9"/>
        <v>0.12984590384438324</v>
      </c>
      <c r="U16">
        <f t="shared" si="10"/>
        <v>129.84590384438323</v>
      </c>
    </row>
    <row r="17" spans="5:21">
      <c r="E17" s="1">
        <v>8.2817000000000007</v>
      </c>
      <c r="F17" s="1">
        <v>9.5374999999999996</v>
      </c>
      <c r="G17" s="1">
        <f t="shared" si="0"/>
        <v>12.01759530791789</v>
      </c>
      <c r="I17" s="1">
        <v>90</v>
      </c>
      <c r="J17" s="1">
        <v>8.6783000000000001</v>
      </c>
      <c r="K17" s="1">
        <v>26.060300000000002</v>
      </c>
      <c r="L17">
        <f t="shared" si="1"/>
        <v>0.33300844579686339</v>
      </c>
      <c r="M17">
        <f t="shared" si="2"/>
        <v>0.69313593668906526</v>
      </c>
      <c r="N17">
        <f t="shared" si="3"/>
        <v>0.98390117494666662</v>
      </c>
      <c r="O17">
        <f t="shared" si="4"/>
        <v>0.98654904065277682</v>
      </c>
      <c r="P17">
        <f t="shared" si="5"/>
        <v>0.99731603235419686</v>
      </c>
      <c r="Q17">
        <f t="shared" si="6"/>
        <v>0.33754880099677492</v>
      </c>
      <c r="R17">
        <f t="shared" si="7"/>
        <v>0.69627188107820281</v>
      </c>
      <c r="S17">
        <f t="shared" si="8"/>
        <v>102.01759530791789</v>
      </c>
      <c r="T17">
        <f t="shared" si="9"/>
        <v>0.13320362013359438</v>
      </c>
      <c r="U17">
        <f t="shared" si="10"/>
        <v>133.20362013359437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1B8A-9B03-4104-BDA1-DA6DF3ABECB8}">
  <dimension ref="A1:V14"/>
  <sheetViews>
    <sheetView topLeftCell="O1" workbookViewId="0">
      <selection activeCell="V2" sqref="V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4" width="12.33203125" bestFit="1" customWidth="1"/>
    <col min="15" max="17" width="11.25" bestFit="1" customWidth="1"/>
    <col min="18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42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41</v>
      </c>
      <c r="B2" s="2">
        <v>3.8666999999999998</v>
      </c>
      <c r="C2" s="2">
        <v>24.826699999999999</v>
      </c>
      <c r="D2" s="2">
        <v>50</v>
      </c>
      <c r="E2" s="2">
        <v>8.2108000000000008</v>
      </c>
      <c r="F2" s="2">
        <v>9.5574999999999992</v>
      </c>
      <c r="G2" s="2">
        <f>0.0936/0.00648</f>
        <v>14.444444444444446</v>
      </c>
      <c r="H2" s="2" t="s">
        <v>9</v>
      </c>
      <c r="I2" s="2">
        <v>50</v>
      </c>
      <c r="J2" s="2">
        <v>2.9083999999999999</v>
      </c>
      <c r="K2" s="2">
        <v>41.337000000000003</v>
      </c>
      <c r="L2" s="3">
        <f>J2:J25/K2:K25</f>
        <v>7.0358274669182569E-2</v>
      </c>
      <c r="M2" s="3">
        <f>(L2:L25)^(1/3)</f>
        <v>0.41283045386890921</v>
      </c>
      <c r="N2" s="3">
        <f>1-((3/10)*(J2:J25/I2:I25)^2)-((3/2)*((J2:J25*E2)/(I2:I25)^2))</f>
        <v>0.98465677070080004</v>
      </c>
      <c r="O2" s="3">
        <f>1-(F2/I2:I25)^3-((9/8)*(1-(F2/I2:I25)^2)*((J2:J25*E2)/I2:I25^2))-((9/35)*(J2:J25/I2:I25)^2)</f>
        <v>0.98179216739477082</v>
      </c>
      <c r="P2" s="3">
        <f>N2:N25/O2:O25</f>
        <v>1.002917728824045</v>
      </c>
      <c r="Q2" s="3">
        <f>L2:L25/O2:O25</f>
        <v>7.1663104479516654E-2</v>
      </c>
      <c r="R2" s="3">
        <f>Q2:Q25^(1/3)</f>
        <v>0.41536688797538462</v>
      </c>
      <c r="S2" s="3">
        <f>I2:I25+G2</f>
        <v>64.444444444444443</v>
      </c>
      <c r="T2" s="3">
        <f>(P2:P25*3*K2:K25*J2:J25)/(2*24.8267*S2:S25)</f>
        <v>0.11304339131374401</v>
      </c>
      <c r="U2" s="3">
        <f>T2:T25*1000</f>
        <v>113.04339131374401</v>
      </c>
      <c r="V2">
        <f>AVERAGE(U3:U14)</f>
        <v>118.89993521743418</v>
      </c>
    </row>
    <row r="3" spans="1:22">
      <c r="E3" s="1">
        <v>8.2108000000000008</v>
      </c>
      <c r="F3" s="1">
        <v>9.5574999999999992</v>
      </c>
      <c r="G3" s="1">
        <f t="shared" ref="G3:G14" si="0">0.0936/0.00648</f>
        <v>14.444444444444446</v>
      </c>
      <c r="I3" s="1">
        <v>51</v>
      </c>
      <c r="J3" s="1">
        <v>3.0558000000000001</v>
      </c>
      <c r="K3" s="1">
        <v>41.178400000000003</v>
      </c>
      <c r="L3">
        <f t="shared" ref="L3:L14" si="1">J3:J26/K3:K26</f>
        <v>7.4208808501544501E-2</v>
      </c>
      <c r="M3">
        <f t="shared" ref="M3:M14" si="2">(L3:L26)^(1/3)</f>
        <v>0.42022816118137923</v>
      </c>
      <c r="N3">
        <f t="shared" ref="N3:N14" si="3">1-((3/10)*(J3:J26/I3:I26)^2)-((3/2)*((J3:J26*E3)/(I3:I26)^2))</f>
        <v>0.98445320336332176</v>
      </c>
      <c r="O3">
        <f t="shared" ref="O3:O14" si="4">1-(F3/I3:I26)^3-((9/8)*(1-(F3/I3:I26)^2)*((J3:J26*E3)/I3:I26^2))-((9/35)*(J3:J26/I3:I26)^2)</f>
        <v>0.98202417143746812</v>
      </c>
      <c r="P3">
        <f t="shared" ref="P3:P14" si="5">N3:N26/O3:O26</f>
        <v>1.0024734950488012</v>
      </c>
      <c r="Q3">
        <f t="shared" ref="Q3:Q14" si="6">L3:L26/O3:O26</f>
        <v>7.5567191378720422E-2</v>
      </c>
      <c r="R3">
        <f t="shared" ref="R3:R14" si="7">Q3:Q26^(1/3)</f>
        <v>0.42277674783656838</v>
      </c>
      <c r="S3">
        <f t="shared" ref="S3:S14" si="8">I3:I26+G3</f>
        <v>65.444444444444443</v>
      </c>
      <c r="T3">
        <f t="shared" ref="T3:T14" si="9">(P3:P26*3*K3:K26*J3:J26)/(2*24.8267*S3:S26)</f>
        <v>0.11645731441533871</v>
      </c>
      <c r="U3">
        <f t="shared" ref="U3:U14" si="10">T3:T26*1000</f>
        <v>116.45731441533871</v>
      </c>
    </row>
    <row r="4" spans="1:22">
      <c r="E4" s="1">
        <v>8.2108000000000008</v>
      </c>
      <c r="F4" s="1">
        <v>9.5574999999999992</v>
      </c>
      <c r="G4" s="1">
        <f t="shared" si="0"/>
        <v>14.444444444444446</v>
      </c>
      <c r="I4" s="1">
        <v>52</v>
      </c>
      <c r="J4" s="1">
        <v>3.1743000000000001</v>
      </c>
      <c r="K4" s="1">
        <v>40.308900000000001</v>
      </c>
      <c r="L4">
        <f t="shared" si="1"/>
        <v>7.8749358082210133E-2</v>
      </c>
      <c r="M4">
        <f t="shared" si="2"/>
        <v>0.4286297794740786</v>
      </c>
      <c r="N4">
        <f t="shared" si="3"/>
        <v>0.98442375450924557</v>
      </c>
      <c r="O4">
        <f t="shared" si="4"/>
        <v>0.98235534170822869</v>
      </c>
      <c r="P4">
        <f t="shared" si="5"/>
        <v>1.0021055647719288</v>
      </c>
      <c r="Q4">
        <f t="shared" si="6"/>
        <v>8.0163821316706019E-2</v>
      </c>
      <c r="R4">
        <f t="shared" si="7"/>
        <v>0.43118085607878809</v>
      </c>
      <c r="S4">
        <f t="shared" si="8"/>
        <v>66.444444444444443</v>
      </c>
      <c r="T4">
        <f t="shared" si="9"/>
        <v>0.11659393982973504</v>
      </c>
      <c r="U4">
        <f t="shared" si="10"/>
        <v>116.59393982973504</v>
      </c>
    </row>
    <row r="5" spans="1:22">
      <c r="E5" s="1">
        <v>8.2108000000000008</v>
      </c>
      <c r="F5" s="1">
        <v>9.5574999999999992</v>
      </c>
      <c r="G5" s="1">
        <f t="shared" si="0"/>
        <v>14.444444444444446</v>
      </c>
      <c r="I5" s="1">
        <v>53</v>
      </c>
      <c r="J5" s="1">
        <v>3.2336</v>
      </c>
      <c r="K5" s="1">
        <v>39.933399999999999</v>
      </c>
      <c r="L5">
        <f t="shared" si="1"/>
        <v>8.0974823080428915E-2</v>
      </c>
      <c r="M5">
        <f t="shared" si="2"/>
        <v>0.43263003755609813</v>
      </c>
      <c r="N5">
        <f t="shared" si="3"/>
        <v>0.98470540583552868</v>
      </c>
      <c r="O5">
        <f t="shared" si="4"/>
        <v>0.98289104076815248</v>
      </c>
      <c r="P5">
        <f t="shared" si="5"/>
        <v>1.001845947304554</v>
      </c>
      <c r="Q5">
        <f t="shared" si="6"/>
        <v>8.2384333279856919E-2</v>
      </c>
      <c r="R5">
        <f t="shared" si="7"/>
        <v>0.43512584244764052</v>
      </c>
      <c r="S5">
        <f t="shared" si="8"/>
        <v>67.444444444444443</v>
      </c>
      <c r="T5">
        <f t="shared" si="9"/>
        <v>0.11589097357794473</v>
      </c>
      <c r="U5">
        <f t="shared" si="10"/>
        <v>115.89097357794473</v>
      </c>
    </row>
    <row r="6" spans="1:22">
      <c r="E6" s="1">
        <v>8.2108000000000008</v>
      </c>
      <c r="F6" s="1">
        <v>9.5574999999999992</v>
      </c>
      <c r="G6" s="1">
        <f t="shared" si="0"/>
        <v>14.444444444444446</v>
      </c>
      <c r="I6" s="1">
        <v>54</v>
      </c>
      <c r="J6" s="1">
        <v>3.3555000000000001</v>
      </c>
      <c r="K6" s="1">
        <v>38.826700000000002</v>
      </c>
      <c r="L6">
        <f t="shared" si="1"/>
        <v>8.642248761805664E-2</v>
      </c>
      <c r="M6">
        <f t="shared" si="2"/>
        <v>0.44212213071963913</v>
      </c>
      <c r="N6">
        <f t="shared" si="3"/>
        <v>0.98466912785493832</v>
      </c>
      <c r="O6">
        <f t="shared" si="4"/>
        <v>0.98316634460366015</v>
      </c>
      <c r="P6">
        <f t="shared" si="5"/>
        <v>1.0015285137245864</v>
      </c>
      <c r="Q6">
        <f t="shared" si="6"/>
        <v>8.7902203012142147E-2</v>
      </c>
      <c r="R6">
        <f t="shared" si="7"/>
        <v>0.44463118540587704</v>
      </c>
      <c r="S6">
        <f t="shared" si="8"/>
        <v>68.444444444444443</v>
      </c>
      <c r="T6">
        <f t="shared" si="9"/>
        <v>0.11518212895166956</v>
      </c>
      <c r="U6">
        <f t="shared" si="10"/>
        <v>115.18212895166955</v>
      </c>
    </row>
    <row r="7" spans="1:22">
      <c r="E7" s="1">
        <v>8.2108000000000008</v>
      </c>
      <c r="F7" s="1">
        <v>9.5574999999999992</v>
      </c>
      <c r="G7" s="1">
        <f t="shared" si="0"/>
        <v>14.444444444444446</v>
      </c>
      <c r="I7" s="1">
        <v>55</v>
      </c>
      <c r="J7" s="1">
        <v>3.4394999999999998</v>
      </c>
      <c r="K7" s="1">
        <v>38.629100000000001</v>
      </c>
      <c r="L7">
        <f t="shared" si="1"/>
        <v>8.9039092290527075E-2</v>
      </c>
      <c r="M7">
        <f t="shared" si="2"/>
        <v>0.44653986969483017</v>
      </c>
      <c r="N7">
        <f t="shared" si="3"/>
        <v>0.98482293620661154</v>
      </c>
      <c r="O7">
        <f t="shared" si="4"/>
        <v>0.98356124445896054</v>
      </c>
      <c r="P7">
        <f t="shared" si="5"/>
        <v>1.0012827790386811</v>
      </c>
      <c r="Q7">
        <f t="shared" si="6"/>
        <v>9.0527247583352968E-2</v>
      </c>
      <c r="R7">
        <f t="shared" si="7"/>
        <v>0.44901388604821507</v>
      </c>
      <c r="S7">
        <f t="shared" si="8"/>
        <v>69.444444444444443</v>
      </c>
      <c r="T7">
        <f t="shared" si="9"/>
        <v>0.11574477773222866</v>
      </c>
      <c r="U7">
        <f t="shared" si="10"/>
        <v>115.74477773222866</v>
      </c>
    </row>
    <row r="8" spans="1:22">
      <c r="E8" s="1">
        <v>8.2108000000000008</v>
      </c>
      <c r="F8" s="1">
        <v>9.5574999999999992</v>
      </c>
      <c r="G8" s="1">
        <f t="shared" si="0"/>
        <v>14.444444444444446</v>
      </c>
      <c r="I8" s="1">
        <v>60</v>
      </c>
      <c r="J8" s="1">
        <v>3.9599000000000002</v>
      </c>
      <c r="K8" s="1">
        <v>35.368299999999998</v>
      </c>
      <c r="L8">
        <f t="shared" si="1"/>
        <v>0.1119618415360648</v>
      </c>
      <c r="M8">
        <f t="shared" si="2"/>
        <v>0.48197370416059138</v>
      </c>
      <c r="N8">
        <f t="shared" si="3"/>
        <v>0.98514578811583331</v>
      </c>
      <c r="O8">
        <f t="shared" si="4"/>
        <v>0.98493530699662712</v>
      </c>
      <c r="P8">
        <f t="shared" si="5"/>
        <v>1.0002137004508935</v>
      </c>
      <c r="Q8">
        <f t="shared" si="6"/>
        <v>0.1136743101203988</v>
      </c>
      <c r="R8">
        <f t="shared" si="7"/>
        <v>0.48441856155332869</v>
      </c>
      <c r="S8">
        <f t="shared" si="8"/>
        <v>74.444444444444443</v>
      </c>
      <c r="T8">
        <f t="shared" si="9"/>
        <v>0.11369233154803439</v>
      </c>
      <c r="U8">
        <f t="shared" si="10"/>
        <v>113.69233154803439</v>
      </c>
    </row>
    <row r="9" spans="1:22">
      <c r="E9" s="1">
        <v>8.2108000000000008</v>
      </c>
      <c r="F9" s="1">
        <v>9.5574999999999992</v>
      </c>
      <c r="G9" s="1">
        <f t="shared" si="0"/>
        <v>14.444444444444446</v>
      </c>
      <c r="I9" s="1">
        <v>65</v>
      </c>
      <c r="J9" s="1">
        <v>4.5907</v>
      </c>
      <c r="K9" s="1">
        <v>33.767600000000002</v>
      </c>
      <c r="L9">
        <f t="shared" si="1"/>
        <v>0.13594984541394708</v>
      </c>
      <c r="M9">
        <f t="shared" si="2"/>
        <v>0.51419309390614276</v>
      </c>
      <c r="N9">
        <f t="shared" si="3"/>
        <v>0.98512134028710063</v>
      </c>
      <c r="O9">
        <f t="shared" si="4"/>
        <v>0.98571865410576409</v>
      </c>
      <c r="P9">
        <f t="shared" si="5"/>
        <v>0.99939403214479561</v>
      </c>
      <c r="Q9">
        <f t="shared" si="6"/>
        <v>0.1379195218104903</v>
      </c>
      <c r="R9">
        <f t="shared" si="7"/>
        <v>0.51666445085803048</v>
      </c>
      <c r="S9">
        <f t="shared" si="8"/>
        <v>79.444444444444443</v>
      </c>
      <c r="T9">
        <f t="shared" si="9"/>
        <v>0.11782151139711722</v>
      </c>
      <c r="U9">
        <f t="shared" si="10"/>
        <v>117.82151139711722</v>
      </c>
    </row>
    <row r="10" spans="1:22">
      <c r="E10" s="1">
        <v>8.2108000000000008</v>
      </c>
      <c r="F10" s="1">
        <v>9.5574999999999992</v>
      </c>
      <c r="G10" s="1">
        <f t="shared" si="0"/>
        <v>14.444444444444446</v>
      </c>
      <c r="I10" s="1">
        <v>70</v>
      </c>
      <c r="J10" s="1">
        <v>5.2065999999999999</v>
      </c>
      <c r="K10" s="1">
        <v>32.226100000000002</v>
      </c>
      <c r="L10">
        <f t="shared" si="1"/>
        <v>0.16156469445573618</v>
      </c>
      <c r="M10">
        <f t="shared" si="2"/>
        <v>0.54464746660166763</v>
      </c>
      <c r="N10">
        <f t="shared" si="3"/>
        <v>0.98525344245142854</v>
      </c>
      <c r="O10">
        <f t="shared" si="4"/>
        <v>0.98639992993441394</v>
      </c>
      <c r="P10">
        <f t="shared" si="5"/>
        <v>0.99883770522666027</v>
      </c>
      <c r="Q10">
        <f t="shared" si="6"/>
        <v>0.16379228095289775</v>
      </c>
      <c r="R10">
        <f t="shared" si="7"/>
        <v>0.54713917380504595</v>
      </c>
      <c r="S10">
        <f t="shared" si="8"/>
        <v>84.444444444444443</v>
      </c>
      <c r="T10">
        <f t="shared" si="9"/>
        <v>0.11991073707058084</v>
      </c>
      <c r="U10">
        <f t="shared" si="10"/>
        <v>119.91073707058084</v>
      </c>
    </row>
    <row r="11" spans="1:22">
      <c r="E11" s="1">
        <v>8.2108000000000008</v>
      </c>
      <c r="F11" s="1">
        <v>9.5574999999999992</v>
      </c>
      <c r="G11" s="1">
        <f t="shared" si="0"/>
        <v>14.444444444444446</v>
      </c>
      <c r="I11" s="1">
        <v>75</v>
      </c>
      <c r="J11" s="1">
        <v>5.9527000000000001</v>
      </c>
      <c r="K11" s="1">
        <v>31.139199999999999</v>
      </c>
      <c r="L11">
        <f t="shared" si="1"/>
        <v>0.19116419175829824</v>
      </c>
      <c r="M11">
        <f t="shared" si="2"/>
        <v>0.57606149653488514</v>
      </c>
      <c r="N11">
        <f t="shared" si="3"/>
        <v>0.98507643823519997</v>
      </c>
      <c r="O11">
        <f t="shared" si="4"/>
        <v>0.98669416606393212</v>
      </c>
      <c r="P11">
        <f t="shared" si="5"/>
        <v>0.99836045668012252</v>
      </c>
      <c r="Q11">
        <f t="shared" si="6"/>
        <v>0.19374209185900051</v>
      </c>
      <c r="R11">
        <f t="shared" si="7"/>
        <v>0.57863939079463489</v>
      </c>
      <c r="S11">
        <f t="shared" si="8"/>
        <v>89.444444444444443</v>
      </c>
      <c r="T11">
        <f t="shared" si="9"/>
        <v>0.12500509356747438</v>
      </c>
      <c r="U11">
        <f t="shared" si="10"/>
        <v>125.00509356747439</v>
      </c>
    </row>
    <row r="12" spans="1:22">
      <c r="E12" s="1">
        <v>8.2108000000000008</v>
      </c>
      <c r="F12" s="1">
        <v>9.5574999999999992</v>
      </c>
      <c r="G12" s="1">
        <f t="shared" si="0"/>
        <v>14.444444444444446</v>
      </c>
      <c r="I12" s="1">
        <v>80</v>
      </c>
      <c r="J12" s="1">
        <v>6.6723999999999997</v>
      </c>
      <c r="K12" s="1">
        <v>29.439699999999998</v>
      </c>
      <c r="L12">
        <f t="shared" si="1"/>
        <v>0.22664633131451747</v>
      </c>
      <c r="M12">
        <f t="shared" si="2"/>
        <v>0.60970005079034928</v>
      </c>
      <c r="N12">
        <f t="shared" si="3"/>
        <v>0.98507267353000005</v>
      </c>
      <c r="O12">
        <f t="shared" si="4"/>
        <v>0.98701320657961855</v>
      </c>
      <c r="P12">
        <f t="shared" si="5"/>
        <v>0.99803393405814378</v>
      </c>
      <c r="Q12">
        <f t="shared" si="6"/>
        <v>0.22962846880229135</v>
      </c>
      <c r="R12">
        <f t="shared" si="7"/>
        <v>0.61236248479308986</v>
      </c>
      <c r="S12">
        <f t="shared" si="8"/>
        <v>94.444444444444443</v>
      </c>
      <c r="T12">
        <f t="shared" si="9"/>
        <v>0.12541705775503723</v>
      </c>
      <c r="U12">
        <f t="shared" si="10"/>
        <v>125.41705775503722</v>
      </c>
    </row>
    <row r="13" spans="1:22">
      <c r="E13" s="1">
        <v>8.2108000000000008</v>
      </c>
      <c r="F13" s="1">
        <v>9.5574999999999992</v>
      </c>
      <c r="G13" s="1">
        <f t="shared" si="0"/>
        <v>14.444444444444446</v>
      </c>
      <c r="I13" s="1">
        <v>85</v>
      </c>
      <c r="J13" s="1">
        <v>7.3574999999999999</v>
      </c>
      <c r="K13" s="1">
        <v>27.621500000000001</v>
      </c>
      <c r="L13">
        <f t="shared" si="1"/>
        <v>0.26636858968557103</v>
      </c>
      <c r="M13">
        <f t="shared" si="2"/>
        <v>0.64341967518941179</v>
      </c>
      <c r="N13">
        <f t="shared" si="3"/>
        <v>0.9852102029930796</v>
      </c>
      <c r="O13">
        <f t="shared" si="4"/>
        <v>0.9873641554985928</v>
      </c>
      <c r="P13">
        <f t="shared" si="5"/>
        <v>0.99781848217446634</v>
      </c>
      <c r="Q13">
        <f t="shared" si="6"/>
        <v>0.26977745566534361</v>
      </c>
      <c r="R13">
        <f t="shared" si="7"/>
        <v>0.64615278144511745</v>
      </c>
      <c r="S13">
        <f t="shared" si="8"/>
        <v>99.444444444444443</v>
      </c>
      <c r="T13">
        <f t="shared" si="9"/>
        <v>0.1232028660857433</v>
      </c>
      <c r="U13">
        <f t="shared" si="10"/>
        <v>123.2028660857433</v>
      </c>
    </row>
    <row r="14" spans="1:22">
      <c r="E14" s="1">
        <v>8.2108000000000008</v>
      </c>
      <c r="F14" s="1">
        <v>9.5574999999999992</v>
      </c>
      <c r="G14" s="1">
        <f t="shared" si="0"/>
        <v>14.444444444444446</v>
      </c>
      <c r="I14" s="1">
        <v>90</v>
      </c>
      <c r="J14" s="1">
        <v>8.0063999999999993</v>
      </c>
      <c r="K14" s="1">
        <v>26.3765</v>
      </c>
      <c r="L14">
        <f t="shared" si="1"/>
        <v>0.30354292646863684</v>
      </c>
      <c r="M14">
        <f t="shared" si="2"/>
        <v>0.67205792329854008</v>
      </c>
      <c r="N14">
        <f t="shared" si="3"/>
        <v>0.98545195605333324</v>
      </c>
      <c r="O14">
        <f t="shared" si="4"/>
        <v>0.98773997591370011</v>
      </c>
      <c r="P14">
        <f t="shared" si="5"/>
        <v>0.99768358078425412</v>
      </c>
      <c r="Q14">
        <f t="shared" si="6"/>
        <v>0.30731056135279644</v>
      </c>
      <c r="R14">
        <f t="shared" si="7"/>
        <v>0.6748270696300096</v>
      </c>
      <c r="S14">
        <f t="shared" si="8"/>
        <v>104.44444444444444</v>
      </c>
      <c r="T14">
        <f t="shared" si="9"/>
        <v>0.12188049067830621</v>
      </c>
      <c r="U14">
        <f t="shared" si="10"/>
        <v>121.88049067830622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E94B-0D9D-491F-9375-92BFB69ADD95}">
  <dimension ref="A1:W17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0" width="11.25" bestFit="1" customWidth="1"/>
    <col min="21" max="21" width="12.33203125" bestFit="1" customWidth="1"/>
    <col min="22" max="22" width="11.75" bestFit="1" customWidth="1"/>
  </cols>
  <sheetData>
    <row r="1" spans="1:23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44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  <c r="W1" s="1"/>
    </row>
    <row r="2" spans="1:23">
      <c r="A2" s="2" t="s">
        <v>43</v>
      </c>
      <c r="B2" s="2">
        <v>3.8967000000000001</v>
      </c>
      <c r="C2" s="2">
        <v>25.056699999999999</v>
      </c>
      <c r="D2" s="2">
        <v>46</v>
      </c>
      <c r="E2" s="2">
        <v>8.2982999999999993</v>
      </c>
      <c r="F2" s="2">
        <v>9.5625</v>
      </c>
      <c r="G2" s="2">
        <f>0.04938/0.00697</f>
        <v>7.0846484935437593</v>
      </c>
      <c r="H2" s="2" t="s">
        <v>9</v>
      </c>
      <c r="I2" s="2">
        <v>46</v>
      </c>
      <c r="J2" s="2">
        <v>3.0333999999999999</v>
      </c>
      <c r="K2" s="2">
        <v>63.267600000000002</v>
      </c>
      <c r="L2" s="3">
        <f>J2:J25/K2:K25</f>
        <v>4.7945551909666241E-2</v>
      </c>
      <c r="M2" s="3">
        <f>(L2:L25)^(1/3)</f>
        <v>0.36328665165020541</v>
      </c>
      <c r="N2" s="3">
        <f>1-((3/10)*(J2:J25/I2:I25)^2)-((3/2)*((J2:J25*E2)/(I2:I25)^2))</f>
        <v>0.98085134711814748</v>
      </c>
      <c r="O2" s="3">
        <f>1-(F2/I2:I25)^3-((9/8)*(1-(F2/I2:I25)^2)*((J2:J25*E2)/I2:I25^2))-((9/35)*(J2:J25/I2:I25)^2)</f>
        <v>0.97709367302114969</v>
      </c>
      <c r="P2" s="3">
        <f>N2:N25/O2:O25</f>
        <v>1.0038457664815075</v>
      </c>
      <c r="Q2" s="3">
        <f>L2:L25/O2:O25</f>
        <v>4.9069555185450919E-2</v>
      </c>
      <c r="R2" s="3">
        <f>Q2:Q25^(1/3)</f>
        <v>0.36610363450609695</v>
      </c>
      <c r="S2" s="3">
        <f>I2:I25+G2</f>
        <v>53.08464849354376</v>
      </c>
      <c r="T2" s="3">
        <f>(P2:P25*3*K2:K25*J2:J25)/(2*25.0567*S2:S25)</f>
        <v>0.21725834865909871</v>
      </c>
      <c r="U2" s="3">
        <f>T2:T25*1000</f>
        <v>217.25834865909871</v>
      </c>
      <c r="V2">
        <f>AVERAGE(U3:U17)</f>
        <v>227.97449761352937</v>
      </c>
    </row>
    <row r="3" spans="1:23">
      <c r="E3" s="1">
        <v>8.2982999999999993</v>
      </c>
      <c r="F3" s="1">
        <v>9.5625</v>
      </c>
      <c r="G3" s="1">
        <f t="shared" ref="G3:G17" si="0">0.04938/0.00697</f>
        <v>7.0846484935437593</v>
      </c>
      <c r="I3" s="1">
        <v>47</v>
      </c>
      <c r="J3" s="1">
        <v>3.3786</v>
      </c>
      <c r="K3" s="1">
        <v>62.877299999999998</v>
      </c>
      <c r="L3">
        <f t="shared" ref="L3:L17" si="1">J3:J26/K3:K26</f>
        <v>5.3733223277717082E-2</v>
      </c>
      <c r="M3">
        <f t="shared" ref="M3:M17" si="2">(L3:L26)^(1/3)</f>
        <v>0.37735284711554967</v>
      </c>
      <c r="N3">
        <f t="shared" ref="N3:N17" si="3">1-((3/10)*(J3:J26/I3:I26)^2)-((3/2)*((J3:J26*E3)/(I3:I26)^2))</f>
        <v>0.97941175375373468</v>
      </c>
      <c r="O3">
        <f t="shared" ref="O3:O17" si="4">1-(F3/I3:I26)^3-((9/8)*(1-(F3/I3:I26)^2)*((J3:J26*E3)/I3:I26^2))-((9/35)*(J3:J26/I3:I26)^2)</f>
        <v>0.97656166852537052</v>
      </c>
      <c r="P3">
        <f t="shared" ref="P3:P17" si="5">N3:N26/O3:O26</f>
        <v>1.0029184897587347</v>
      </c>
      <c r="Q3">
        <f t="shared" ref="Q3:Q17" si="6">L3:L26/O3:O26</f>
        <v>5.5022867484503489E-2</v>
      </c>
      <c r="R3">
        <f t="shared" ref="R3:R17" si="7">Q3:Q26^(1/3)</f>
        <v>0.3803479442014977</v>
      </c>
      <c r="S3">
        <f t="shared" ref="S3:S17" si="8">I3:I26+G3</f>
        <v>54.08464849354376</v>
      </c>
      <c r="T3">
        <f t="shared" ref="T3:T17" si="9">(P3:P26*3*K3:K26*J3:J26)/(2*25.0567*S3:S26)</f>
        <v>0.23582490845591392</v>
      </c>
      <c r="U3">
        <f t="shared" ref="U3:U17" si="10">T3:T26*1000</f>
        <v>235.82490845591391</v>
      </c>
    </row>
    <row r="4" spans="1:23">
      <c r="E4" s="1">
        <v>8.2982999999999993</v>
      </c>
      <c r="F4" s="1">
        <v>9.5625</v>
      </c>
      <c r="G4" s="1">
        <f t="shared" si="0"/>
        <v>7.0846484935437593</v>
      </c>
      <c r="I4" s="1">
        <v>48</v>
      </c>
      <c r="J4" s="1">
        <v>3.5036999999999998</v>
      </c>
      <c r="K4" s="1">
        <v>61.968200000000003</v>
      </c>
      <c r="L4">
        <f t="shared" si="1"/>
        <v>5.6540290019719788E-2</v>
      </c>
      <c r="M4">
        <f t="shared" si="2"/>
        <v>0.38381270257739347</v>
      </c>
      <c r="N4">
        <f t="shared" si="3"/>
        <v>0.979472697625</v>
      </c>
      <c r="O4">
        <f t="shared" si="4"/>
        <v>0.97709008602104819</v>
      </c>
      <c r="P4">
        <f t="shared" si="5"/>
        <v>1.0024384768999697</v>
      </c>
      <c r="Q4">
        <f t="shared" si="6"/>
        <v>5.7865994987182597E-2</v>
      </c>
      <c r="R4">
        <f t="shared" si="7"/>
        <v>0.38678932103176672</v>
      </c>
      <c r="S4">
        <f t="shared" si="8"/>
        <v>55.08464849354376</v>
      </c>
      <c r="T4">
        <f t="shared" si="9"/>
        <v>0.23653222971092208</v>
      </c>
      <c r="U4">
        <f t="shared" si="10"/>
        <v>236.53222971092208</v>
      </c>
    </row>
    <row r="5" spans="1:23">
      <c r="E5" s="1">
        <v>8.2982999999999993</v>
      </c>
      <c r="F5" s="1">
        <v>9.5625</v>
      </c>
      <c r="G5" s="1">
        <f t="shared" si="0"/>
        <v>7.0846484935437593</v>
      </c>
      <c r="I5" s="1">
        <v>49</v>
      </c>
      <c r="J5" s="1">
        <v>3.5828000000000002</v>
      </c>
      <c r="K5" s="1">
        <v>61.395099999999999</v>
      </c>
      <c r="L5">
        <f t="shared" si="1"/>
        <v>5.835644864166685E-2</v>
      </c>
      <c r="M5">
        <f t="shared" si="2"/>
        <v>0.38787901567144911</v>
      </c>
      <c r="N5">
        <f t="shared" si="3"/>
        <v>0.9798218822940441</v>
      </c>
      <c r="O5">
        <f t="shared" si="4"/>
        <v>0.97779276303126506</v>
      </c>
      <c r="P5">
        <f t="shared" si="5"/>
        <v>1.002075203805445</v>
      </c>
      <c r="Q5">
        <f t="shared" si="6"/>
        <v>5.9681816892114686E-2</v>
      </c>
      <c r="R5">
        <f t="shared" si="7"/>
        <v>0.39079351235611404</v>
      </c>
      <c r="S5">
        <f t="shared" si="8"/>
        <v>56.08464849354376</v>
      </c>
      <c r="T5">
        <f t="shared" si="9"/>
        <v>0.23527727191791456</v>
      </c>
      <c r="U5">
        <f t="shared" si="10"/>
        <v>235.27727191791456</v>
      </c>
    </row>
    <row r="6" spans="1:23">
      <c r="E6" s="1">
        <v>8.2982999999999993</v>
      </c>
      <c r="F6" s="1">
        <v>9.5625</v>
      </c>
      <c r="G6" s="1">
        <f t="shared" si="0"/>
        <v>7.0846484935437593</v>
      </c>
      <c r="I6" s="1">
        <v>50</v>
      </c>
      <c r="J6" s="1">
        <v>3.6848999999999998</v>
      </c>
      <c r="K6" s="1">
        <v>59.991999999999997</v>
      </c>
      <c r="L6">
        <f t="shared" si="1"/>
        <v>6.1423189758634485E-2</v>
      </c>
      <c r="M6">
        <f t="shared" si="2"/>
        <v>0.39455794109270537</v>
      </c>
      <c r="N6">
        <f t="shared" si="3"/>
        <v>0.98002353803679998</v>
      </c>
      <c r="O6">
        <f t="shared" si="4"/>
        <v>0.97835110922410906</v>
      </c>
      <c r="P6">
        <f t="shared" si="5"/>
        <v>1.0017094362105003</v>
      </c>
      <c r="Q6">
        <f t="shared" si="6"/>
        <v>6.2782358173382916E-2</v>
      </c>
      <c r="R6">
        <f t="shared" si="7"/>
        <v>0.39744698616257279</v>
      </c>
      <c r="S6">
        <f t="shared" si="8"/>
        <v>57.08464849354376</v>
      </c>
      <c r="T6">
        <f t="shared" si="9"/>
        <v>0.2322249439139758</v>
      </c>
      <c r="U6">
        <f t="shared" si="10"/>
        <v>232.22494391397581</v>
      </c>
    </row>
    <row r="7" spans="1:23">
      <c r="E7" s="1">
        <v>8.2982999999999993</v>
      </c>
      <c r="F7" s="1">
        <v>9.5625</v>
      </c>
      <c r="G7" s="1">
        <f t="shared" si="0"/>
        <v>7.0846484935437593</v>
      </c>
      <c r="I7" s="1">
        <v>51</v>
      </c>
      <c r="J7" s="1">
        <v>3.7688999999999999</v>
      </c>
      <c r="K7" s="1">
        <v>59.082900000000002</v>
      </c>
      <c r="L7">
        <f t="shared" si="1"/>
        <v>6.3790030617996069E-2</v>
      </c>
      <c r="M7">
        <f t="shared" si="2"/>
        <v>0.39956208453756753</v>
      </c>
      <c r="N7">
        <f t="shared" si="3"/>
        <v>0.98032503788235292</v>
      </c>
      <c r="O7">
        <f t="shared" si="4"/>
        <v>0.97895201703470491</v>
      </c>
      <c r="P7">
        <f t="shared" si="5"/>
        <v>1.0014025415176189</v>
      </c>
      <c r="Q7">
        <f t="shared" si="6"/>
        <v>6.5161549808354549E-2</v>
      </c>
      <c r="R7">
        <f t="shared" si="7"/>
        <v>0.40240540154766452</v>
      </c>
      <c r="S7">
        <f t="shared" si="8"/>
        <v>58.08464849354376</v>
      </c>
      <c r="T7">
        <f t="shared" si="9"/>
        <v>0.22982175033364252</v>
      </c>
      <c r="U7">
        <f t="shared" si="10"/>
        <v>229.82175033364251</v>
      </c>
    </row>
    <row r="8" spans="1:23">
      <c r="E8" s="1">
        <v>8.2982999999999993</v>
      </c>
      <c r="F8" s="1">
        <v>9.5625</v>
      </c>
      <c r="G8" s="1">
        <f t="shared" si="0"/>
        <v>7.0846484935437593</v>
      </c>
      <c r="I8" s="1">
        <v>52</v>
      </c>
      <c r="J8" s="1">
        <v>3.9203999999999999</v>
      </c>
      <c r="K8" s="1">
        <v>58.015799999999999</v>
      </c>
      <c r="L8">
        <f t="shared" si="1"/>
        <v>6.7574695169246995E-2</v>
      </c>
      <c r="M8">
        <f t="shared" si="2"/>
        <v>0.40731277518583237</v>
      </c>
      <c r="N8">
        <f t="shared" si="3"/>
        <v>0.98024783882100597</v>
      </c>
      <c r="O8">
        <f t="shared" si="4"/>
        <v>0.97924213346575406</v>
      </c>
      <c r="P8">
        <f t="shared" si="5"/>
        <v>1.0010270241862373</v>
      </c>
      <c r="Q8">
        <f t="shared" si="6"/>
        <v>6.9007136090116175E-2</v>
      </c>
      <c r="R8">
        <f t="shared" si="7"/>
        <v>0.41017073216594935</v>
      </c>
      <c r="S8">
        <f t="shared" si="8"/>
        <v>59.08464849354376</v>
      </c>
      <c r="T8">
        <f t="shared" si="9"/>
        <v>0.2306827911086497</v>
      </c>
      <c r="U8">
        <f t="shared" si="10"/>
        <v>230.6827911086497</v>
      </c>
    </row>
    <row r="9" spans="1:23">
      <c r="E9" s="1">
        <v>8.2982999999999993</v>
      </c>
      <c r="F9" s="1">
        <v>9.5625</v>
      </c>
      <c r="G9" s="1">
        <f t="shared" si="0"/>
        <v>7.0846484935437593</v>
      </c>
      <c r="I9" s="1">
        <v>53</v>
      </c>
      <c r="J9" s="1">
        <v>4.1081000000000003</v>
      </c>
      <c r="K9" s="1">
        <v>57.304400000000001</v>
      </c>
      <c r="L9">
        <f t="shared" si="1"/>
        <v>7.1689084956827048E-2</v>
      </c>
      <c r="M9">
        <f t="shared" si="2"/>
        <v>0.41541707710340919</v>
      </c>
      <c r="N9">
        <f t="shared" si="3"/>
        <v>0.97999347987611252</v>
      </c>
      <c r="O9">
        <f t="shared" si="4"/>
        <v>0.97937308306554482</v>
      </c>
      <c r="P9">
        <f t="shared" si="5"/>
        <v>1.0006334632034461</v>
      </c>
      <c r="Q9">
        <f t="shared" si="6"/>
        <v>7.319895369436985E-2</v>
      </c>
      <c r="R9">
        <f t="shared" si="7"/>
        <v>0.41831325330536329</v>
      </c>
      <c r="S9">
        <f t="shared" si="8"/>
        <v>60.08464849354376</v>
      </c>
      <c r="T9">
        <f t="shared" si="9"/>
        <v>0.23469717375294624</v>
      </c>
      <c r="U9">
        <f t="shared" si="10"/>
        <v>234.69717375294624</v>
      </c>
    </row>
    <row r="10" spans="1:23">
      <c r="E10" s="1">
        <v>8.2982999999999993</v>
      </c>
      <c r="F10" s="1">
        <v>9.5625</v>
      </c>
      <c r="G10" s="1">
        <f t="shared" si="0"/>
        <v>7.0846484935437593</v>
      </c>
      <c r="I10" s="1">
        <v>55</v>
      </c>
      <c r="J10" s="1">
        <v>4.3765999999999998</v>
      </c>
      <c r="K10" s="1">
        <v>55.802399999999999</v>
      </c>
      <c r="L10">
        <f t="shared" si="1"/>
        <v>7.843031840924404E-2</v>
      </c>
      <c r="M10">
        <f t="shared" si="2"/>
        <v>0.42805015572519367</v>
      </c>
      <c r="N10">
        <f t="shared" si="3"/>
        <v>0.98009127340892566</v>
      </c>
      <c r="O10">
        <f t="shared" si="4"/>
        <v>0.98001756672797546</v>
      </c>
      <c r="P10">
        <f t="shared" si="5"/>
        <v>1.0000752095507801</v>
      </c>
      <c r="Q10">
        <f t="shared" si="6"/>
        <v>8.0029502604838543E-2</v>
      </c>
      <c r="R10">
        <f t="shared" si="7"/>
        <v>0.43093989935926114</v>
      </c>
      <c r="S10">
        <f t="shared" si="8"/>
        <v>62.08464849354376</v>
      </c>
      <c r="T10">
        <f t="shared" si="9"/>
        <v>0.23550794067942388</v>
      </c>
      <c r="U10">
        <f t="shared" si="10"/>
        <v>235.50794067942388</v>
      </c>
    </row>
    <row r="11" spans="1:23">
      <c r="E11" s="1">
        <v>8.2982999999999993</v>
      </c>
      <c r="F11" s="1">
        <v>9.5625</v>
      </c>
      <c r="G11" s="1">
        <f t="shared" si="0"/>
        <v>7.0846484935437593</v>
      </c>
      <c r="I11" s="1">
        <v>60</v>
      </c>
      <c r="J11" s="1">
        <v>5.0682999999999998</v>
      </c>
      <c r="K11" s="1">
        <v>51.375700000000002</v>
      </c>
      <c r="L11">
        <f t="shared" si="1"/>
        <v>9.865169720315245E-2</v>
      </c>
      <c r="M11">
        <f t="shared" si="2"/>
        <v>0.46206334782730429</v>
      </c>
      <c r="N11">
        <f t="shared" si="3"/>
        <v>0.98033508047166662</v>
      </c>
      <c r="O11">
        <f t="shared" si="4"/>
        <v>0.98130761163015556</v>
      </c>
      <c r="P11">
        <f t="shared" si="5"/>
        <v>0.9990089436309646</v>
      </c>
      <c r="Q11">
        <f t="shared" si="6"/>
        <v>0.10053085906392951</v>
      </c>
      <c r="R11">
        <f t="shared" si="7"/>
        <v>0.46497877740876919</v>
      </c>
      <c r="S11">
        <f t="shared" si="8"/>
        <v>67.084648493543753</v>
      </c>
      <c r="T11">
        <f t="shared" si="9"/>
        <v>0.232131286996069</v>
      </c>
      <c r="U11">
        <f t="shared" si="10"/>
        <v>232.13128699606901</v>
      </c>
    </row>
    <row r="12" spans="1:23">
      <c r="E12" s="1">
        <v>8.2982999999999993</v>
      </c>
      <c r="F12" s="1">
        <v>9.5625</v>
      </c>
      <c r="G12" s="1">
        <f t="shared" si="0"/>
        <v>7.0846484935437593</v>
      </c>
      <c r="I12" s="1">
        <v>65</v>
      </c>
      <c r="J12" s="1">
        <v>5.8851000000000004</v>
      </c>
      <c r="K12" s="1">
        <v>47.008299999999998</v>
      </c>
      <c r="L12">
        <f t="shared" si="1"/>
        <v>0.12519278510390719</v>
      </c>
      <c r="M12">
        <f t="shared" si="2"/>
        <v>0.50025691477219902</v>
      </c>
      <c r="N12">
        <f t="shared" si="3"/>
        <v>0.98020241216615378</v>
      </c>
      <c r="O12">
        <f t="shared" si="4"/>
        <v>0.98198574885993406</v>
      </c>
      <c r="P12">
        <f t="shared" si="5"/>
        <v>0.99818394849838632</v>
      </c>
      <c r="Q12">
        <f t="shared" si="6"/>
        <v>0.12748941137817277</v>
      </c>
      <c r="R12">
        <f t="shared" si="7"/>
        <v>0.50329742139146771</v>
      </c>
      <c r="S12">
        <f t="shared" si="8"/>
        <v>72.084648493543753</v>
      </c>
      <c r="T12">
        <f t="shared" si="9"/>
        <v>0.22933142787357605</v>
      </c>
      <c r="U12">
        <f t="shared" si="10"/>
        <v>229.33142787357605</v>
      </c>
    </row>
    <row r="13" spans="1:23">
      <c r="E13" s="1">
        <v>8.2982999999999993</v>
      </c>
      <c r="F13" s="1">
        <v>9.5625</v>
      </c>
      <c r="G13" s="1">
        <f t="shared" si="0"/>
        <v>7.0846484935437593</v>
      </c>
      <c r="I13" s="1">
        <v>70</v>
      </c>
      <c r="J13" s="1">
        <v>6.6855000000000002</v>
      </c>
      <c r="K13" s="1">
        <v>43.885800000000003</v>
      </c>
      <c r="L13">
        <f t="shared" si="1"/>
        <v>0.15233856965123113</v>
      </c>
      <c r="M13">
        <f t="shared" si="2"/>
        <v>0.534076281437736</v>
      </c>
      <c r="N13">
        <f t="shared" si="3"/>
        <v>0.98028036733673474</v>
      </c>
      <c r="O13">
        <f t="shared" si="4"/>
        <v>0.98260548340498155</v>
      </c>
      <c r="P13">
        <f t="shared" si="5"/>
        <v>0.99763372369937353</v>
      </c>
      <c r="Q13">
        <f t="shared" si="6"/>
        <v>0.15503533434735034</v>
      </c>
      <c r="R13">
        <f t="shared" si="7"/>
        <v>0.53720935067193321</v>
      </c>
      <c r="S13">
        <f t="shared" si="8"/>
        <v>77.084648493543753</v>
      </c>
      <c r="T13">
        <f t="shared" si="9"/>
        <v>0.22731522445783617</v>
      </c>
      <c r="U13">
        <f t="shared" si="10"/>
        <v>227.31522445783617</v>
      </c>
    </row>
    <row r="14" spans="1:23">
      <c r="E14" s="1">
        <v>8.2982999999999993</v>
      </c>
      <c r="F14" s="1">
        <v>9.5625</v>
      </c>
      <c r="G14" s="1">
        <f t="shared" si="0"/>
        <v>7.0846484935437593</v>
      </c>
      <c r="I14" s="1">
        <v>75</v>
      </c>
      <c r="J14" s="1">
        <v>7.6737000000000002</v>
      </c>
      <c r="K14" s="1">
        <v>40.506500000000003</v>
      </c>
      <c r="L14">
        <f t="shared" si="1"/>
        <v>0.18944366953451913</v>
      </c>
      <c r="M14">
        <f t="shared" si="2"/>
        <v>0.57432805644497908</v>
      </c>
      <c r="N14">
        <f t="shared" si="3"/>
        <v>0.97987845358719994</v>
      </c>
      <c r="O14">
        <f t="shared" si="4"/>
        <v>0.9827067140215241</v>
      </c>
      <c r="P14">
        <f t="shared" si="5"/>
        <v>0.99712196895170269</v>
      </c>
      <c r="Q14">
        <f t="shared" si="6"/>
        <v>0.1927774246695233</v>
      </c>
      <c r="R14">
        <f t="shared" si="7"/>
        <v>0.57767741871838019</v>
      </c>
      <c r="S14">
        <f t="shared" si="8"/>
        <v>82.084648493543753</v>
      </c>
      <c r="T14">
        <f t="shared" si="9"/>
        <v>0.22603894089570992</v>
      </c>
      <c r="U14">
        <f t="shared" si="10"/>
        <v>226.03894089570991</v>
      </c>
    </row>
    <row r="15" spans="1:23">
      <c r="E15" s="1">
        <v>8.2982999999999993</v>
      </c>
      <c r="F15" s="1">
        <v>9.5625</v>
      </c>
      <c r="G15" s="1">
        <f t="shared" si="0"/>
        <v>7.0846484935437593</v>
      </c>
      <c r="I15" s="1">
        <v>80</v>
      </c>
      <c r="J15" s="1">
        <v>8.3160000000000007</v>
      </c>
      <c r="K15" s="1">
        <v>37.581699999999998</v>
      </c>
      <c r="L15">
        <f t="shared" si="1"/>
        <v>0.22127790919516682</v>
      </c>
      <c r="M15">
        <f t="shared" si="2"/>
        <v>0.60484768079469176</v>
      </c>
      <c r="N15">
        <f t="shared" si="3"/>
        <v>0.98058441390625006</v>
      </c>
      <c r="O15">
        <f t="shared" si="4"/>
        <v>0.98355647466344831</v>
      </c>
      <c r="P15">
        <f t="shared" si="5"/>
        <v>0.99697825103717075</v>
      </c>
      <c r="Q15">
        <f t="shared" si="6"/>
        <v>0.22497732961483816</v>
      </c>
      <c r="R15">
        <f t="shared" si="7"/>
        <v>0.60819977133613534</v>
      </c>
      <c r="S15">
        <f t="shared" si="8"/>
        <v>87.084648493543753</v>
      </c>
      <c r="T15">
        <f t="shared" si="9"/>
        <v>0.21419156744292714</v>
      </c>
      <c r="U15">
        <f t="shared" si="10"/>
        <v>214.19156744292715</v>
      </c>
    </row>
    <row r="16" spans="1:23">
      <c r="E16" s="1">
        <v>8.2982999999999993</v>
      </c>
      <c r="F16" s="1">
        <v>9.5625</v>
      </c>
      <c r="G16" s="1">
        <f t="shared" si="0"/>
        <v>7.0846484935437593</v>
      </c>
      <c r="I16" s="1">
        <v>85</v>
      </c>
      <c r="J16" s="1">
        <v>9.2284000000000006</v>
      </c>
      <c r="K16" s="1">
        <v>35.348599999999998</v>
      </c>
      <c r="L16">
        <f t="shared" si="1"/>
        <v>0.26106833085327286</v>
      </c>
      <c r="M16">
        <f t="shared" si="2"/>
        <v>0.63912341813718354</v>
      </c>
      <c r="N16">
        <f t="shared" si="3"/>
        <v>0.98056483632553637</v>
      </c>
      <c r="O16">
        <f t="shared" si="4"/>
        <v>0.98377183705750804</v>
      </c>
      <c r="P16">
        <f t="shared" si="5"/>
        <v>0.99674009703147848</v>
      </c>
      <c r="Q16">
        <f t="shared" si="6"/>
        <v>0.26537487760793832</v>
      </c>
      <c r="R16">
        <f t="shared" si="7"/>
        <v>0.64261856642551785</v>
      </c>
      <c r="S16">
        <f t="shared" si="8"/>
        <v>92.084648493543753</v>
      </c>
      <c r="T16">
        <f t="shared" si="9"/>
        <v>0.21137845008406686</v>
      </c>
      <c r="U16">
        <f t="shared" si="10"/>
        <v>211.37845008406686</v>
      </c>
    </row>
    <row r="17" spans="5:21">
      <c r="E17" s="1">
        <v>8.2982999999999993</v>
      </c>
      <c r="F17" s="1">
        <v>9.5625</v>
      </c>
      <c r="G17" s="1">
        <f t="shared" si="0"/>
        <v>7.0846484935437593</v>
      </c>
      <c r="I17" s="1">
        <v>90</v>
      </c>
      <c r="J17" s="1">
        <v>10.1029</v>
      </c>
      <c r="K17" s="1">
        <v>33.609499999999997</v>
      </c>
      <c r="L17">
        <f t="shared" si="1"/>
        <v>0.30059655752093906</v>
      </c>
      <c r="M17">
        <f t="shared" si="2"/>
        <v>0.66987638435313246</v>
      </c>
      <c r="N17">
        <f t="shared" si="3"/>
        <v>0.98069433097185188</v>
      </c>
      <c r="O17">
        <f t="shared" si="4"/>
        <v>0.98404770125008456</v>
      </c>
      <c r="P17">
        <f t="shared" si="5"/>
        <v>0.99659226857196792</v>
      </c>
      <c r="Q17">
        <f t="shared" si="6"/>
        <v>0.30546949821545882</v>
      </c>
      <c r="R17">
        <f t="shared" si="7"/>
        <v>0.6734767650694562</v>
      </c>
      <c r="S17">
        <f t="shared" si="8"/>
        <v>97.084648493543753</v>
      </c>
      <c r="T17">
        <f t="shared" si="9"/>
        <v>0.20866155657936664</v>
      </c>
      <c r="U17">
        <f t="shared" si="10"/>
        <v>208.66155657936665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6D6B-BF4F-4899-93EB-A4D71D0DCC10}">
  <dimension ref="A1:V17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46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45</v>
      </c>
      <c r="B2" s="2">
        <v>3.88</v>
      </c>
      <c r="C2" s="2">
        <v>25.067</v>
      </c>
      <c r="D2" s="2">
        <v>46</v>
      </c>
      <c r="E2" s="2">
        <v>8.1692</v>
      </c>
      <c r="F2" s="2">
        <v>9.6125000000000007</v>
      </c>
      <c r="G2" s="2">
        <f>0.05119/0.00688</f>
        <v>7.4404069767441863</v>
      </c>
      <c r="H2" s="2" t="s">
        <v>9</v>
      </c>
      <c r="I2" s="2">
        <v>46</v>
      </c>
      <c r="J2" s="2">
        <v>3.0954999999999999</v>
      </c>
      <c r="K2" s="2">
        <v>64.957300000000004</v>
      </c>
      <c r="L2" s="3">
        <f>J2:J25/K2:K25</f>
        <v>4.765438218645171E-2</v>
      </c>
      <c r="M2" s="3">
        <f>(L2:L25)^(1/3)</f>
        <v>0.36254975377069221</v>
      </c>
      <c r="N2" s="3">
        <f>1-((3/10)*(J2:J25/I2:I25)^2)-((3/2)*((J2:J25*E2)/(I2:I25)^2))</f>
        <v>0.98071537146739129</v>
      </c>
      <c r="O2" s="3">
        <f>1-(F2/I2:I25)^3-((9/8)*(1-(F2/I2:I25)^2)*((J2:J25*E2)/I2:I25^2))-((9/35)*(J2:J25/I2:I25)^2)</f>
        <v>0.97685300536710651</v>
      </c>
      <c r="P2" s="3">
        <f>N2:N25/O2:O25</f>
        <v>1.0039538866943787</v>
      </c>
      <c r="Q2" s="3">
        <f>L2:L25/O2:O25</f>
        <v>4.8783575343091606E-2</v>
      </c>
      <c r="R2" s="3">
        <f>Q2:Q25^(1/3)</f>
        <v>0.36539102485101244</v>
      </c>
      <c r="S2" s="3">
        <f>I2:I25+G2</f>
        <v>53.440406976744185</v>
      </c>
      <c r="T2" s="3">
        <f>(P2:P25*3*K2:K25*J2:J25)/(2*25.067*S2:S25)</f>
        <v>0.2260433212368316</v>
      </c>
      <c r="U2" s="3">
        <f>T2:T25*1000</f>
        <v>226.04332123683159</v>
      </c>
      <c r="V2">
        <f>AVERAGE(U3:U17)</f>
        <v>239.47516325879832</v>
      </c>
    </row>
    <row r="3" spans="1:22">
      <c r="E3" s="1">
        <v>8.1692</v>
      </c>
      <c r="F3" s="1">
        <v>9.6125000000000007</v>
      </c>
      <c r="G3" s="1">
        <f t="shared" ref="G3:G17" si="0">0.05119/0.00688</f>
        <v>7.4404069767441863</v>
      </c>
      <c r="I3" s="1">
        <v>47</v>
      </c>
      <c r="J3" s="1">
        <v>3.2972999999999999</v>
      </c>
      <c r="K3" s="1">
        <v>64.793499999999995</v>
      </c>
      <c r="L3">
        <f t="shared" ref="L3:L17" si="1">J3:J26/K3:K26</f>
        <v>5.088936390224328E-2</v>
      </c>
      <c r="M3">
        <f t="shared" ref="M3:M17" si="2">(L3:L26)^(1/3)</f>
        <v>0.3705746218682377</v>
      </c>
      <c r="N3">
        <f t="shared" ref="N3:N17" si="3">1-((3/10)*(J3:J26/I3:I26)^2)-((3/2)*((J3:J26*E3)/(I3:I26)^2))</f>
        <v>0.98023263425667728</v>
      </c>
      <c r="O3">
        <f t="shared" ref="O3:O17" si="4">1-(F3/I3:I26)^3-((9/8)*(1-(F3/I3:I26)^2)*((J3:J26*E3)/I3:I26^2))-((9/35)*(J3:J26/I3:I26)^2)</f>
        <v>0.97703518005612344</v>
      </c>
      <c r="P3">
        <f t="shared" ref="P3:P17" si="5">N3:N26/O3:O26</f>
        <v>1.0032726090787951</v>
      </c>
      <c r="Q3">
        <f t="shared" ref="Q3:Q17" si="6">L3:L26/O3:O26</f>
        <v>5.2085497985159615E-2</v>
      </c>
      <c r="R3">
        <f t="shared" ref="R3:R17" si="7">Q3:Q26^(1/3)</f>
        <v>0.37345556917127359</v>
      </c>
      <c r="S3">
        <f t="shared" ref="S3:S17" si="8">I3:I26+G3</f>
        <v>54.440406976744185</v>
      </c>
      <c r="T3">
        <f t="shared" ref="T3:T17" si="9">(P3:P26*3*K3:K26*J3:J26)/(2*25.067*S3:S26)</f>
        <v>0.23560060054204096</v>
      </c>
      <c r="U3">
        <f t="shared" ref="U3:U17" si="10">T3:T26*1000</f>
        <v>235.60060054204095</v>
      </c>
    </row>
    <row r="4" spans="1:22">
      <c r="E4" s="1">
        <v>8.1692</v>
      </c>
      <c r="F4" s="1">
        <v>9.6125000000000007</v>
      </c>
      <c r="G4" s="1">
        <f t="shared" si="0"/>
        <v>7.4404069767441863</v>
      </c>
      <c r="I4" s="1">
        <v>48</v>
      </c>
      <c r="J4" s="1">
        <v>3.5261999999999998</v>
      </c>
      <c r="K4" s="1">
        <v>62.975499999999997</v>
      </c>
      <c r="L4">
        <f t="shared" si="1"/>
        <v>5.5993203706203205E-2</v>
      </c>
      <c r="M4">
        <f t="shared" si="2"/>
        <v>0.38257075873506785</v>
      </c>
      <c r="N4">
        <f t="shared" si="3"/>
        <v>0.97962692035937504</v>
      </c>
      <c r="O4">
        <f t="shared" si="4"/>
        <v>0.9770795208077877</v>
      </c>
      <c r="P4">
        <f t="shared" si="5"/>
        <v>1.0026071568355883</v>
      </c>
      <c r="Q4">
        <f t="shared" si="6"/>
        <v>5.7306700748278455E-2</v>
      </c>
      <c r="R4">
        <f t="shared" si="7"/>
        <v>0.38553913503494286</v>
      </c>
      <c r="S4">
        <f t="shared" si="8"/>
        <v>55.440406976744185</v>
      </c>
      <c r="T4">
        <f t="shared" si="9"/>
        <v>0.24031000591567334</v>
      </c>
      <c r="U4">
        <f t="shared" si="10"/>
        <v>240.31000591567334</v>
      </c>
    </row>
    <row r="5" spans="1:22">
      <c r="E5" s="1">
        <v>8.1692</v>
      </c>
      <c r="F5" s="1">
        <v>9.6125000000000007</v>
      </c>
      <c r="G5" s="1">
        <f t="shared" si="0"/>
        <v>7.4404069767441863</v>
      </c>
      <c r="I5" s="1">
        <v>49</v>
      </c>
      <c r="J5" s="1">
        <v>3.6185</v>
      </c>
      <c r="K5" s="1">
        <v>62.303600000000003</v>
      </c>
      <c r="L5">
        <f t="shared" si="1"/>
        <v>5.8078505896930512E-2</v>
      </c>
      <c r="M5">
        <f t="shared" si="2"/>
        <v>0.38726223281967959</v>
      </c>
      <c r="N5">
        <f t="shared" si="3"/>
        <v>0.97989652729071219</v>
      </c>
      <c r="O5">
        <f t="shared" si="4"/>
        <v>0.9777305896252273</v>
      </c>
      <c r="P5">
        <f t="shared" si="5"/>
        <v>1.0022152704318223</v>
      </c>
      <c r="Q5">
        <f t="shared" si="6"/>
        <v>5.9401338684915761E-2</v>
      </c>
      <c r="R5">
        <f t="shared" si="7"/>
        <v>0.3901803651481302</v>
      </c>
      <c r="S5">
        <f t="shared" si="8"/>
        <v>56.440406976744185</v>
      </c>
      <c r="T5">
        <f t="shared" si="9"/>
        <v>0.23955293465949934</v>
      </c>
      <c r="U5">
        <f t="shared" si="10"/>
        <v>239.55293465949933</v>
      </c>
    </row>
    <row r="6" spans="1:22">
      <c r="E6" s="1">
        <v>8.1692</v>
      </c>
      <c r="F6" s="1">
        <v>9.6125000000000007</v>
      </c>
      <c r="G6" s="1">
        <f t="shared" si="0"/>
        <v>7.4404069767441863</v>
      </c>
      <c r="I6" s="1">
        <v>50</v>
      </c>
      <c r="J6" s="1">
        <v>3.7336999999999998</v>
      </c>
      <c r="K6" s="1">
        <v>61.9084</v>
      </c>
      <c r="L6">
        <f t="shared" si="1"/>
        <v>6.0310071008134597E-2</v>
      </c>
      <c r="M6">
        <f t="shared" si="2"/>
        <v>0.39215998738196717</v>
      </c>
      <c r="N6">
        <f t="shared" si="3"/>
        <v>0.98002633289319996</v>
      </c>
      <c r="O6">
        <f t="shared" si="4"/>
        <v>0.97824224163120588</v>
      </c>
      <c r="P6">
        <f t="shared" si="5"/>
        <v>1.0018237724625541</v>
      </c>
      <c r="Q6">
        <f t="shared" si="6"/>
        <v>6.1651468768684901E-2</v>
      </c>
      <c r="R6">
        <f t="shared" si="7"/>
        <v>0.39504612775127912</v>
      </c>
      <c r="S6">
        <f t="shared" si="8"/>
        <v>57.440406976744185</v>
      </c>
      <c r="T6">
        <f t="shared" si="9"/>
        <v>0.24124133459312239</v>
      </c>
      <c r="U6">
        <f t="shared" si="10"/>
        <v>241.24133459312239</v>
      </c>
    </row>
    <row r="7" spans="1:22">
      <c r="E7" s="1">
        <v>8.1692</v>
      </c>
      <c r="F7" s="1">
        <v>9.6125000000000007</v>
      </c>
      <c r="G7" s="1">
        <f t="shared" si="0"/>
        <v>7.4404069767441863</v>
      </c>
      <c r="I7" s="1">
        <v>51</v>
      </c>
      <c r="J7" s="1">
        <v>3.8374999999999999</v>
      </c>
      <c r="K7" s="1">
        <v>61.019100000000002</v>
      </c>
      <c r="L7">
        <f t="shared" si="1"/>
        <v>6.2890144233526873E-2</v>
      </c>
      <c r="M7">
        <f t="shared" si="2"/>
        <v>0.39767430454514169</v>
      </c>
      <c r="N7">
        <f t="shared" si="3"/>
        <v>0.98022226859861594</v>
      </c>
      <c r="O7">
        <f t="shared" si="4"/>
        <v>0.9787706703493616</v>
      </c>
      <c r="P7">
        <f t="shared" si="5"/>
        <v>1.001483083109485</v>
      </c>
      <c r="Q7">
        <f t="shared" si="6"/>
        <v>6.4254218213423697E-2</v>
      </c>
      <c r="R7">
        <f t="shared" si="7"/>
        <v>0.40052892157461484</v>
      </c>
      <c r="S7">
        <f t="shared" si="8"/>
        <v>58.440406976744185</v>
      </c>
      <c r="T7">
        <f t="shared" si="9"/>
        <v>0.24012283944184432</v>
      </c>
      <c r="U7">
        <f t="shared" si="10"/>
        <v>240.12283944184432</v>
      </c>
    </row>
    <row r="8" spans="1:22">
      <c r="E8" s="1">
        <v>8.1692</v>
      </c>
      <c r="F8" s="1">
        <v>9.6125000000000007</v>
      </c>
      <c r="G8" s="1">
        <f t="shared" si="0"/>
        <v>7.4404069767441863</v>
      </c>
      <c r="I8" s="1">
        <v>52</v>
      </c>
      <c r="J8" s="1">
        <v>4.0236000000000001</v>
      </c>
      <c r="K8" s="1">
        <v>60.030999999999999</v>
      </c>
      <c r="L8">
        <f t="shared" si="1"/>
        <v>6.702537022538356E-2</v>
      </c>
      <c r="M8">
        <f t="shared" si="2"/>
        <v>0.40620606844627766</v>
      </c>
      <c r="N8">
        <f t="shared" si="3"/>
        <v>0.97996997160946753</v>
      </c>
      <c r="O8">
        <f t="shared" si="4"/>
        <v>0.97893551691435432</v>
      </c>
      <c r="P8">
        <f t="shared" si="5"/>
        <v>1.0010567138256192</v>
      </c>
      <c r="Q8">
        <f t="shared" si="6"/>
        <v>6.8467604931375187E-2</v>
      </c>
      <c r="R8">
        <f t="shared" si="7"/>
        <v>0.40909896304930887</v>
      </c>
      <c r="S8">
        <f t="shared" si="8"/>
        <v>59.440406976744185</v>
      </c>
      <c r="T8">
        <f t="shared" si="9"/>
        <v>0.24341995836877564</v>
      </c>
      <c r="U8">
        <f t="shared" si="10"/>
        <v>243.41995836877564</v>
      </c>
    </row>
    <row r="9" spans="1:22">
      <c r="E9" s="1">
        <v>8.1692</v>
      </c>
      <c r="F9" s="1">
        <v>9.6125000000000007</v>
      </c>
      <c r="G9" s="1">
        <f t="shared" si="0"/>
        <v>7.4404069767441863</v>
      </c>
      <c r="I9" s="1">
        <v>53</v>
      </c>
      <c r="J9" s="1">
        <v>4.1585999999999999</v>
      </c>
      <c r="K9" s="1">
        <v>59.438200000000002</v>
      </c>
      <c r="L9">
        <f t="shared" si="1"/>
        <v>6.9965106614937864E-2</v>
      </c>
      <c r="M9">
        <f t="shared" si="2"/>
        <v>0.41206003974460481</v>
      </c>
      <c r="N9">
        <f t="shared" si="3"/>
        <v>0.9800118053157707</v>
      </c>
      <c r="O9">
        <f t="shared" si="4"/>
        <v>0.9792925443282281</v>
      </c>
      <c r="P9">
        <f t="shared" si="5"/>
        <v>1.0007344699923515</v>
      </c>
      <c r="Q9">
        <f t="shared" si="6"/>
        <v>7.1444541286620644E-2</v>
      </c>
      <c r="R9">
        <f t="shared" si="7"/>
        <v>0.41494418620679546</v>
      </c>
      <c r="S9">
        <f t="shared" si="8"/>
        <v>60.440406976744185</v>
      </c>
      <c r="T9">
        <f t="shared" si="9"/>
        <v>0.24490247570577892</v>
      </c>
      <c r="U9">
        <f t="shared" si="10"/>
        <v>244.90247570577893</v>
      </c>
    </row>
    <row r="10" spans="1:22">
      <c r="E10" s="1">
        <v>8.1692</v>
      </c>
      <c r="F10" s="1">
        <v>9.6125000000000007</v>
      </c>
      <c r="G10" s="1">
        <f t="shared" si="0"/>
        <v>7.4404069767441863</v>
      </c>
      <c r="I10" s="1">
        <v>55</v>
      </c>
      <c r="J10" s="1">
        <v>4.4320000000000004</v>
      </c>
      <c r="K10" s="1">
        <v>57.738700000000001</v>
      </c>
      <c r="L10">
        <f t="shared" si="1"/>
        <v>7.675960837358653E-2</v>
      </c>
      <c r="M10">
        <f t="shared" si="2"/>
        <v>0.42498889636243076</v>
      </c>
      <c r="N10">
        <f t="shared" si="3"/>
        <v>0.980098635107438</v>
      </c>
      <c r="O10">
        <f t="shared" si="4"/>
        <v>0.97993803283567171</v>
      </c>
      <c r="P10">
        <f t="shared" si="5"/>
        <v>1.0001638902322236</v>
      </c>
      <c r="Q10">
        <f t="shared" si="6"/>
        <v>7.8331084008919721E-2</v>
      </c>
      <c r="R10">
        <f t="shared" si="7"/>
        <v>0.42786954857879794</v>
      </c>
      <c r="S10">
        <f t="shared" si="8"/>
        <v>62.440406976744185</v>
      </c>
      <c r="T10">
        <f t="shared" si="9"/>
        <v>0.24527941228356845</v>
      </c>
      <c r="U10">
        <f t="shared" si="10"/>
        <v>245.27941228356846</v>
      </c>
    </row>
    <row r="11" spans="1:22">
      <c r="E11" s="1">
        <v>8.1692</v>
      </c>
      <c r="F11" s="1">
        <v>9.6125000000000007</v>
      </c>
      <c r="G11" s="1">
        <f t="shared" si="0"/>
        <v>7.4404069767441863</v>
      </c>
      <c r="I11" s="1">
        <v>60</v>
      </c>
      <c r="J11" s="1">
        <v>5.2423000000000002</v>
      </c>
      <c r="K11" s="1">
        <v>54.003900000000002</v>
      </c>
      <c r="L11">
        <f t="shared" si="1"/>
        <v>9.7072618829380841E-2</v>
      </c>
      <c r="M11">
        <f t="shared" si="2"/>
        <v>0.45958472103160158</v>
      </c>
      <c r="N11">
        <f t="shared" si="3"/>
        <v>0.97986594207583333</v>
      </c>
      <c r="O11">
        <f t="shared" si="4"/>
        <v>0.9808855592640352</v>
      </c>
      <c r="P11">
        <f t="shared" si="5"/>
        <v>0.99896051361081628</v>
      </c>
      <c r="Q11">
        <f t="shared" si="6"/>
        <v>9.8964265415646513E-2</v>
      </c>
      <c r="R11">
        <f t="shared" si="7"/>
        <v>0.46255083411551601</v>
      </c>
      <c r="S11">
        <f t="shared" si="8"/>
        <v>67.440406976744185</v>
      </c>
      <c r="T11">
        <f t="shared" si="9"/>
        <v>0.25093661344696483</v>
      </c>
      <c r="U11">
        <f t="shared" si="10"/>
        <v>250.93661344696483</v>
      </c>
    </row>
    <row r="12" spans="1:22">
      <c r="E12" s="1">
        <v>8.1692</v>
      </c>
      <c r="F12" s="1">
        <v>9.6125000000000007</v>
      </c>
      <c r="G12" s="1">
        <f t="shared" si="0"/>
        <v>7.4404069767441863</v>
      </c>
      <c r="I12" s="1">
        <v>65</v>
      </c>
      <c r="J12" s="1">
        <v>5.9931999999999999</v>
      </c>
      <c r="K12" s="1">
        <v>49.4983</v>
      </c>
      <c r="L12">
        <f t="shared" si="1"/>
        <v>0.12107890574019714</v>
      </c>
      <c r="M12">
        <f t="shared" si="2"/>
        <v>0.49471623465187786</v>
      </c>
      <c r="N12">
        <f t="shared" si="3"/>
        <v>0.98006745372023663</v>
      </c>
      <c r="O12">
        <f t="shared" si="4"/>
        <v>0.98182822346878984</v>
      </c>
      <c r="P12">
        <f t="shared" si="5"/>
        <v>0.99820664174601492</v>
      </c>
      <c r="Q12">
        <f t="shared" si="6"/>
        <v>0.12331984643141192</v>
      </c>
      <c r="R12">
        <f t="shared" si="7"/>
        <v>0.49774968257881913</v>
      </c>
      <c r="S12">
        <f t="shared" si="8"/>
        <v>72.440406976744185</v>
      </c>
      <c r="T12">
        <f t="shared" si="9"/>
        <v>0.24461186904695922</v>
      </c>
      <c r="U12">
        <f t="shared" si="10"/>
        <v>244.61186904695921</v>
      </c>
    </row>
    <row r="13" spans="1:22">
      <c r="E13" s="1">
        <v>8.1692</v>
      </c>
      <c r="F13" s="1">
        <v>9.6125000000000007</v>
      </c>
      <c r="G13" s="1">
        <f t="shared" si="0"/>
        <v>7.4404069767441863</v>
      </c>
      <c r="I13" s="1">
        <v>70</v>
      </c>
      <c r="J13" s="1">
        <v>6.7689000000000004</v>
      </c>
      <c r="K13" s="1">
        <v>45.980800000000002</v>
      </c>
      <c r="L13">
        <f t="shared" si="1"/>
        <v>0.14721144477695039</v>
      </c>
      <c r="M13">
        <f t="shared" si="2"/>
        <v>0.52801613239963952</v>
      </c>
      <c r="N13">
        <f t="shared" si="3"/>
        <v>0.98026731653408161</v>
      </c>
      <c r="O13">
        <f t="shared" si="4"/>
        <v>0.98254984139483104</v>
      </c>
      <c r="P13">
        <f t="shared" si="5"/>
        <v>0.99767693732715979</v>
      </c>
      <c r="Q13">
        <f t="shared" si="6"/>
        <v>0.14982593103670805</v>
      </c>
      <c r="R13">
        <f t="shared" si="7"/>
        <v>0.53112367628687285</v>
      </c>
      <c r="S13">
        <f t="shared" si="8"/>
        <v>77.440406976744185</v>
      </c>
      <c r="T13">
        <f t="shared" si="9"/>
        <v>0.23994175196812581</v>
      </c>
      <c r="U13">
        <f t="shared" si="10"/>
        <v>239.9417519681258</v>
      </c>
    </row>
    <row r="14" spans="1:22">
      <c r="E14" s="1">
        <v>8.1692</v>
      </c>
      <c r="F14" s="1">
        <v>9.6125000000000007</v>
      </c>
      <c r="G14" s="1">
        <f t="shared" si="0"/>
        <v>7.4404069767441863</v>
      </c>
      <c r="I14" s="1">
        <v>75</v>
      </c>
      <c r="J14" s="1">
        <v>7.6977000000000002</v>
      </c>
      <c r="K14" s="1">
        <v>43.154899999999998</v>
      </c>
      <c r="L14">
        <f t="shared" si="1"/>
        <v>0.17837371885927208</v>
      </c>
      <c r="M14">
        <f t="shared" si="2"/>
        <v>0.56291603800693668</v>
      </c>
      <c r="N14">
        <f t="shared" si="3"/>
        <v>0.98007067522719993</v>
      </c>
      <c r="O14">
        <f t="shared" si="4"/>
        <v>0.98281564953659073</v>
      </c>
      <c r="P14">
        <f t="shared" si="5"/>
        <v>0.99720703032080826</v>
      </c>
      <c r="Q14">
        <f t="shared" si="6"/>
        <v>0.18149255045275015</v>
      </c>
      <c r="R14">
        <f t="shared" si="7"/>
        <v>0.5661779277754907</v>
      </c>
      <c r="S14">
        <f t="shared" si="8"/>
        <v>82.440406976744185</v>
      </c>
      <c r="T14">
        <f t="shared" si="9"/>
        <v>0.24045023100710358</v>
      </c>
      <c r="U14">
        <f t="shared" si="10"/>
        <v>240.45023100710358</v>
      </c>
    </row>
    <row r="15" spans="1:22">
      <c r="E15" s="1">
        <v>8.1692</v>
      </c>
      <c r="F15" s="1">
        <v>9.6125000000000007</v>
      </c>
      <c r="G15" s="1">
        <f t="shared" si="0"/>
        <v>7.4404069767441863</v>
      </c>
      <c r="I15" s="1">
        <v>80</v>
      </c>
      <c r="J15" s="1">
        <v>8.4257000000000009</v>
      </c>
      <c r="K15" s="1">
        <v>39.617699999999999</v>
      </c>
      <c r="L15">
        <f t="shared" si="1"/>
        <v>0.21267514267612711</v>
      </c>
      <c r="M15">
        <f t="shared" si="2"/>
        <v>0.59690549591575115</v>
      </c>
      <c r="N15">
        <f t="shared" si="3"/>
        <v>0.98053991112390626</v>
      </c>
      <c r="O15">
        <f t="shared" si="4"/>
        <v>0.98348831085921617</v>
      </c>
      <c r="P15">
        <f t="shared" si="5"/>
        <v>0.99700209986966282</v>
      </c>
      <c r="Q15">
        <f t="shared" si="6"/>
        <v>0.21624572486308991</v>
      </c>
      <c r="R15">
        <f t="shared" si="7"/>
        <v>0.60022743679799118</v>
      </c>
      <c r="S15">
        <f t="shared" si="8"/>
        <v>87.440406976744185</v>
      </c>
      <c r="T15">
        <f t="shared" si="9"/>
        <v>0.22775506903557796</v>
      </c>
      <c r="U15">
        <f t="shared" si="10"/>
        <v>227.75506903557798</v>
      </c>
    </row>
    <row r="16" spans="1:22">
      <c r="E16" s="1">
        <v>8.1692</v>
      </c>
      <c r="F16" s="1">
        <v>9.6125000000000007</v>
      </c>
      <c r="G16" s="1">
        <f t="shared" si="0"/>
        <v>7.4404069767441863</v>
      </c>
      <c r="I16" s="1">
        <v>85</v>
      </c>
      <c r="J16" s="1">
        <v>9.4451000000000001</v>
      </c>
      <c r="K16" s="1">
        <v>37.661299999999997</v>
      </c>
      <c r="L16">
        <f t="shared" si="1"/>
        <v>0.25079059936858261</v>
      </c>
      <c r="M16">
        <f t="shared" si="2"/>
        <v>0.63062388802318048</v>
      </c>
      <c r="N16">
        <f t="shared" si="3"/>
        <v>0.98027663106117646</v>
      </c>
      <c r="O16">
        <f t="shared" si="4"/>
        <v>0.98351796421802296</v>
      </c>
      <c r="P16">
        <f t="shared" si="5"/>
        <v>0.99670434778542794</v>
      </c>
      <c r="Q16">
        <f t="shared" si="6"/>
        <v>0.25499340987429914</v>
      </c>
      <c r="R16">
        <f t="shared" si="7"/>
        <v>0.63412710772888969</v>
      </c>
      <c r="S16">
        <f t="shared" si="8"/>
        <v>92.440406976744185</v>
      </c>
      <c r="T16">
        <f t="shared" si="9"/>
        <v>0.22950664761122658</v>
      </c>
      <c r="U16">
        <f t="shared" si="10"/>
        <v>229.50664761122658</v>
      </c>
    </row>
    <row r="17" spans="5:21">
      <c r="E17" s="1">
        <v>8.1692</v>
      </c>
      <c r="F17" s="1">
        <v>9.6125000000000007</v>
      </c>
      <c r="G17" s="1">
        <f t="shared" si="0"/>
        <v>7.4404069767441863</v>
      </c>
      <c r="I17" s="1">
        <v>90</v>
      </c>
      <c r="J17" s="1">
        <v>10.611000000000001</v>
      </c>
      <c r="K17" s="1">
        <v>35.191099999999999</v>
      </c>
      <c r="L17">
        <f t="shared" si="1"/>
        <v>0.30152510151714501</v>
      </c>
      <c r="M17">
        <f t="shared" si="2"/>
        <v>0.67056542565305932</v>
      </c>
      <c r="N17">
        <f t="shared" si="3"/>
        <v>0.97977739900000005</v>
      </c>
      <c r="O17">
        <f t="shared" si="4"/>
        <v>0.98330521191082776</v>
      </c>
      <c r="P17">
        <f t="shared" si="5"/>
        <v>0.99641229104850138</v>
      </c>
      <c r="Q17">
        <f t="shared" si="6"/>
        <v>0.3066444658939621</v>
      </c>
      <c r="R17">
        <f t="shared" si="7"/>
        <v>0.67433915451752513</v>
      </c>
      <c r="S17">
        <f t="shared" si="8"/>
        <v>97.440406976744185</v>
      </c>
      <c r="T17">
        <f t="shared" si="9"/>
        <v>0.228495705255714</v>
      </c>
      <c r="U17">
        <f t="shared" si="10"/>
        <v>228.495705255714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F3BB-C68C-4156-A880-ED32144C528B}">
  <dimension ref="A1:V17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48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47</v>
      </c>
      <c r="B2" s="2">
        <v>3.9729999999999999</v>
      </c>
      <c r="C2" s="2">
        <v>25.093</v>
      </c>
      <c r="D2" s="2">
        <v>45</v>
      </c>
      <c r="E2" s="2">
        <v>8.2241999999999997</v>
      </c>
      <c r="F2" s="2">
        <v>9.5225000000000009</v>
      </c>
      <c r="G2" s="2">
        <f>0.06131/0.00681</f>
        <v>9.0029368575624087</v>
      </c>
      <c r="H2" s="2" t="s">
        <v>9</v>
      </c>
      <c r="I2" s="2">
        <v>45</v>
      </c>
      <c r="J2" s="2">
        <v>3.3936999999999999</v>
      </c>
      <c r="K2" s="2">
        <v>71.604600000000005</v>
      </c>
      <c r="L2" s="3">
        <f>J2:J25/K2:K25</f>
        <v>4.7394999762585079E-2</v>
      </c>
      <c r="M2" s="3">
        <f>(L2:L25)^(1/3)</f>
        <v>0.36189077156523541</v>
      </c>
      <c r="N2" s="3">
        <f>1-((3/10)*(J2:J25/I2:I25)^2)-((3/2)*((J2:J25*E2)/(I2:I25)^2))</f>
        <v>0.97761932779407412</v>
      </c>
      <c r="O2" s="3">
        <f>1-(F2/I2:I25)^3-((9/8)*(1-(F2/I2:I25)^2)*((J2:J25*E2)/I2:I25^2))-((9/35)*(J2:J25/I2:I25)^2)</f>
        <v>0.97425023266356081</v>
      </c>
      <c r="P2" s="3">
        <f>N2:N25/O2:O25</f>
        <v>1.00345814146875</v>
      </c>
      <c r="Q2" s="3">
        <f>L2:L25/O2:O25</f>
        <v>4.8647665839410749E-2</v>
      </c>
      <c r="R2" s="3">
        <f>Q2:Q25^(1/3)</f>
        <v>0.36505138662121639</v>
      </c>
      <c r="S2" s="3">
        <f>I2:I25+G2</f>
        <v>54.00293685756241</v>
      </c>
      <c r="T2" s="3">
        <f>(P2:P25*3*K2:K25*J2:J25)/(2*25.093*S2:S25)</f>
        <v>0.26991991345352723</v>
      </c>
      <c r="U2" s="3">
        <f>T2:T25*1000</f>
        <v>269.91991345352722</v>
      </c>
      <c r="V2">
        <f>AVERAGE(U3:U17)</f>
        <v>273.84171968315201</v>
      </c>
    </row>
    <row r="3" spans="1:22">
      <c r="E3" s="1">
        <v>8.2241999999999997</v>
      </c>
      <c r="F3" s="1">
        <v>9.5225000000000009</v>
      </c>
      <c r="G3" s="1">
        <f t="shared" ref="G3:G17" si="0">0.06131/0.00681</f>
        <v>9.0029368575624087</v>
      </c>
      <c r="I3" s="1">
        <v>46</v>
      </c>
      <c r="J3" s="1">
        <v>3.6596000000000002</v>
      </c>
      <c r="K3" s="1">
        <v>71.0381</v>
      </c>
      <c r="L3">
        <f t="shared" ref="L3:L17" si="1">J3:J26/K3:K26</f>
        <v>5.1516017461052596E-2</v>
      </c>
      <c r="M3">
        <f t="shared" ref="M3:M17" si="2">(L3:L26)^(1/3)</f>
        <v>0.37208951063410989</v>
      </c>
      <c r="N3">
        <f t="shared" ref="N3:N17" si="3">1-((3/10)*(J3:J26/I3:I26)^2)-((3/2)*((J3:J26*E3)/(I3:I26)^2))</f>
        <v>0.9767657253648393</v>
      </c>
      <c r="O3">
        <f t="shared" ref="O3:O17" si="4">1-(F3/I3:I26)^3-((9/8)*(1-(F3/I3:I26)^2)*((J3:J26*E3)/I3:I26^2))-((9/35)*(J3:J26/I3:I26)^2)</f>
        <v>0.97418543956031911</v>
      </c>
      <c r="P3">
        <f t="shared" ref="P3:P17" si="5">N3:N26/O3:O26</f>
        <v>1.0026486597928264</v>
      </c>
      <c r="Q3">
        <f t="shared" ref="Q3:Q17" si="6">L3:L26/O3:O26</f>
        <v>5.2881120338139541E-2</v>
      </c>
      <c r="R3">
        <f t="shared" ref="R3:R17" si="7">Q3:Q26^(1/3)</f>
        <v>0.37534751865079885</v>
      </c>
      <c r="S3">
        <f t="shared" ref="S3:S17" si="8">I3:I26+G3</f>
        <v>55.00293685756241</v>
      </c>
      <c r="T3">
        <f t="shared" ref="T3:T17" si="9">(P3:P26*3*K3:K26*J3:J26)/(2*25.093*S3:S26)</f>
        <v>0.28328692294311719</v>
      </c>
      <c r="U3">
        <f t="shared" ref="U3:U17" si="10">T3:T26*1000</f>
        <v>283.28692294311719</v>
      </c>
    </row>
    <row r="4" spans="1:22">
      <c r="E4" s="1">
        <v>8.2241999999999997</v>
      </c>
      <c r="F4" s="1">
        <v>9.5225000000000009</v>
      </c>
      <c r="G4" s="1">
        <f t="shared" si="0"/>
        <v>9.0029368575624087</v>
      </c>
      <c r="I4" s="1">
        <v>47</v>
      </c>
      <c r="J4" s="1">
        <v>3.8193999999999999</v>
      </c>
      <c r="K4" s="1">
        <v>69.496700000000004</v>
      </c>
      <c r="L4">
        <f t="shared" si="1"/>
        <v>5.4958005200246914E-2</v>
      </c>
      <c r="M4">
        <f t="shared" si="2"/>
        <v>0.38019843099052536</v>
      </c>
      <c r="N4">
        <f t="shared" si="3"/>
        <v>0.97668917649253051</v>
      </c>
      <c r="O4">
        <f t="shared" si="4"/>
        <v>0.97464443452730121</v>
      </c>
      <c r="P4">
        <f t="shared" si="5"/>
        <v>1.0020979363271294</v>
      </c>
      <c r="Q4">
        <f t="shared" si="6"/>
        <v>5.6387748447875079E-2</v>
      </c>
      <c r="R4">
        <f t="shared" si="7"/>
        <v>0.38346722548969275</v>
      </c>
      <c r="S4">
        <f t="shared" si="8"/>
        <v>56.00293685756241</v>
      </c>
      <c r="T4">
        <f t="shared" si="9"/>
        <v>0.28392090090994931</v>
      </c>
      <c r="U4">
        <f t="shared" si="10"/>
        <v>283.9209009099493</v>
      </c>
    </row>
    <row r="5" spans="1:22">
      <c r="E5" s="1">
        <v>8.2241999999999997</v>
      </c>
      <c r="F5" s="1">
        <v>9.5225000000000009</v>
      </c>
      <c r="G5" s="1">
        <f t="shared" si="0"/>
        <v>9.0029368575624087</v>
      </c>
      <c r="I5" s="1">
        <v>48</v>
      </c>
      <c r="J5" s="1">
        <v>3.9758</v>
      </c>
      <c r="K5" s="1">
        <v>68.054100000000005</v>
      </c>
      <c r="L5">
        <f t="shared" si="1"/>
        <v>5.8421167864978009E-2</v>
      </c>
      <c r="M5">
        <f t="shared" si="2"/>
        <v>0.38802235289654396</v>
      </c>
      <c r="N5">
        <f t="shared" si="3"/>
        <v>0.97665418522916669</v>
      </c>
      <c r="O5">
        <f t="shared" si="4"/>
        <v>0.97509066627858876</v>
      </c>
      <c r="P5">
        <f t="shared" si="5"/>
        <v>1.0016034600726362</v>
      </c>
      <c r="Q5">
        <f t="shared" si="6"/>
        <v>5.991357510162728E-2</v>
      </c>
      <c r="R5">
        <f t="shared" si="7"/>
        <v>0.39129870599514577</v>
      </c>
      <c r="S5">
        <f t="shared" si="8"/>
        <v>57.00293685756241</v>
      </c>
      <c r="T5">
        <f t="shared" si="9"/>
        <v>0.28419476992783221</v>
      </c>
      <c r="U5">
        <f t="shared" si="10"/>
        <v>284.19476992783223</v>
      </c>
    </row>
    <row r="6" spans="1:22">
      <c r="E6" s="1">
        <v>8.2241999999999997</v>
      </c>
      <c r="F6" s="1">
        <v>9.5225000000000009</v>
      </c>
      <c r="G6" s="1">
        <f t="shared" si="0"/>
        <v>9.0029368575624087</v>
      </c>
      <c r="I6" s="1">
        <v>49</v>
      </c>
      <c r="J6" s="1">
        <v>4.1257000000000001</v>
      </c>
      <c r="K6" s="1">
        <v>67.2637</v>
      </c>
      <c r="L6">
        <f t="shared" si="1"/>
        <v>6.1336203628405812E-2</v>
      </c>
      <c r="M6">
        <f t="shared" si="2"/>
        <v>0.39437159842682873</v>
      </c>
      <c r="N6">
        <f t="shared" si="3"/>
        <v>0.97667542979716782</v>
      </c>
      <c r="O6">
        <f t="shared" si="4"/>
        <v>0.97553966077838594</v>
      </c>
      <c r="P6">
        <f t="shared" si="5"/>
        <v>1.0011642468927153</v>
      </c>
      <c r="Q6">
        <f t="shared" si="6"/>
        <v>6.2874126080599821E-2</v>
      </c>
      <c r="R6">
        <f t="shared" si="7"/>
        <v>0.39764053905986924</v>
      </c>
      <c r="S6">
        <f t="shared" si="8"/>
        <v>58.00293685756241</v>
      </c>
      <c r="T6">
        <f t="shared" si="9"/>
        <v>0.28633366934660442</v>
      </c>
      <c r="U6">
        <f t="shared" si="10"/>
        <v>286.33366934660444</v>
      </c>
    </row>
    <row r="7" spans="1:22">
      <c r="E7" s="1">
        <v>8.2241999999999997</v>
      </c>
      <c r="F7" s="1">
        <v>9.5225000000000009</v>
      </c>
      <c r="G7" s="1">
        <f t="shared" si="0"/>
        <v>9.0029368575624087</v>
      </c>
      <c r="I7" s="1">
        <v>50</v>
      </c>
      <c r="J7" s="1">
        <v>4.2492000000000001</v>
      </c>
      <c r="K7" s="1">
        <v>66.275599999999997</v>
      </c>
      <c r="L7">
        <f t="shared" si="1"/>
        <v>6.411409327112845E-2</v>
      </c>
      <c r="M7">
        <f t="shared" si="2"/>
        <v>0.40023755320810617</v>
      </c>
      <c r="N7">
        <f t="shared" si="3"/>
        <v>0.97686555353920002</v>
      </c>
      <c r="O7">
        <f t="shared" si="4"/>
        <v>0.97607956438231214</v>
      </c>
      <c r="P7">
        <f t="shared" si="5"/>
        <v>1.0008052511143242</v>
      </c>
      <c r="Q7">
        <f t="shared" si="6"/>
        <v>6.5685314610291506E-2</v>
      </c>
      <c r="R7">
        <f t="shared" si="7"/>
        <v>0.40348069613766585</v>
      </c>
      <c r="S7">
        <f t="shared" si="8"/>
        <v>59.00293685756241</v>
      </c>
      <c r="T7">
        <f t="shared" si="9"/>
        <v>0.28554559160020848</v>
      </c>
      <c r="U7">
        <f t="shared" si="10"/>
        <v>285.54559160020847</v>
      </c>
    </row>
    <row r="8" spans="1:22">
      <c r="E8" s="1">
        <v>8.2241999999999997</v>
      </c>
      <c r="F8" s="1">
        <v>9.5225000000000009</v>
      </c>
      <c r="G8" s="1">
        <f t="shared" si="0"/>
        <v>9.0029368575624087</v>
      </c>
      <c r="I8" s="1">
        <v>51</v>
      </c>
      <c r="J8" s="1">
        <v>4.3430999999999997</v>
      </c>
      <c r="K8" s="1">
        <v>65.267799999999994</v>
      </c>
      <c r="L8">
        <f t="shared" si="1"/>
        <v>6.6542766877388235E-2</v>
      </c>
      <c r="M8">
        <f t="shared" si="2"/>
        <v>0.40522878274741775</v>
      </c>
      <c r="N8">
        <f t="shared" si="3"/>
        <v>0.97722547488927336</v>
      </c>
      <c r="O8">
        <f t="shared" si="4"/>
        <v>0.97671518467692509</v>
      </c>
      <c r="P8">
        <f t="shared" si="5"/>
        <v>1.0005224554919938</v>
      </c>
      <c r="Q8">
        <f t="shared" si="6"/>
        <v>6.812914135188658E-2</v>
      </c>
      <c r="R8">
        <f t="shared" si="7"/>
        <v>0.40842373427228901</v>
      </c>
      <c r="S8">
        <f t="shared" si="8"/>
        <v>60.00293685756241</v>
      </c>
      <c r="T8">
        <f t="shared" si="9"/>
        <v>0.28254772079844981</v>
      </c>
      <c r="U8">
        <f t="shared" si="10"/>
        <v>282.5477207984498</v>
      </c>
    </row>
    <row r="9" spans="1:22">
      <c r="E9" s="1">
        <v>8.2241999999999997</v>
      </c>
      <c r="F9" s="1">
        <v>9.5225000000000009</v>
      </c>
      <c r="G9" s="1">
        <f t="shared" si="0"/>
        <v>9.0029368575624087</v>
      </c>
      <c r="I9" s="1">
        <v>52</v>
      </c>
      <c r="J9" s="1">
        <v>4.46</v>
      </c>
      <c r="K9" s="1">
        <v>65.109700000000004</v>
      </c>
      <c r="L9">
        <f t="shared" si="1"/>
        <v>6.8499778066862541E-2</v>
      </c>
      <c r="M9">
        <f t="shared" si="2"/>
        <v>0.40916303196334231</v>
      </c>
      <c r="N9">
        <f t="shared" si="3"/>
        <v>0.97744549630177513</v>
      </c>
      <c r="O9">
        <f t="shared" si="4"/>
        <v>0.97721837769468634</v>
      </c>
      <c r="P9">
        <f t="shared" si="5"/>
        <v>1.0002324133604861</v>
      </c>
      <c r="Q9">
        <f t="shared" si="6"/>
        <v>7.0096694485481753E-2</v>
      </c>
      <c r="R9">
        <f t="shared" si="7"/>
        <v>0.4123182072239106</v>
      </c>
      <c r="S9">
        <f t="shared" si="8"/>
        <v>61.00293685756241</v>
      </c>
      <c r="T9">
        <f t="shared" si="9"/>
        <v>0.28462261591859289</v>
      </c>
      <c r="U9">
        <f t="shared" si="10"/>
        <v>284.62261591859289</v>
      </c>
    </row>
    <row r="10" spans="1:22">
      <c r="E10" s="1">
        <v>8.2241999999999997</v>
      </c>
      <c r="F10" s="1">
        <v>9.5225000000000009</v>
      </c>
      <c r="G10" s="1">
        <f t="shared" si="0"/>
        <v>9.0029368575624087</v>
      </c>
      <c r="I10" s="1">
        <v>55</v>
      </c>
      <c r="J10" s="1">
        <v>4.9474999999999998</v>
      </c>
      <c r="K10" s="1">
        <v>61.750300000000003</v>
      </c>
      <c r="L10">
        <f t="shared" si="1"/>
        <v>8.0121068237725149E-2</v>
      </c>
      <c r="M10">
        <f t="shared" si="2"/>
        <v>0.43110418979300613</v>
      </c>
      <c r="N10">
        <f t="shared" si="3"/>
        <v>0.97739597648760335</v>
      </c>
      <c r="O10">
        <f t="shared" si="4"/>
        <v>0.97805052840675322</v>
      </c>
      <c r="P10">
        <f t="shared" si="5"/>
        <v>0.99933075858543208</v>
      </c>
      <c r="Q10">
        <f t="shared" si="6"/>
        <v>8.1919150300181903E-2</v>
      </c>
      <c r="R10">
        <f t="shared" si="7"/>
        <v>0.43430531706135073</v>
      </c>
      <c r="S10">
        <f t="shared" si="8"/>
        <v>64.002936857562403</v>
      </c>
      <c r="T10">
        <f t="shared" si="9"/>
        <v>0.28514968714366373</v>
      </c>
      <c r="U10">
        <f t="shared" si="10"/>
        <v>285.14968714366375</v>
      </c>
    </row>
    <row r="11" spans="1:22">
      <c r="E11" s="1">
        <v>8.2241999999999997</v>
      </c>
      <c r="F11" s="1">
        <v>9.5225000000000009</v>
      </c>
      <c r="G11" s="1">
        <f t="shared" si="0"/>
        <v>9.0029368575624087</v>
      </c>
      <c r="I11" s="1">
        <v>60</v>
      </c>
      <c r="J11" s="1">
        <v>5.6753999999999998</v>
      </c>
      <c r="K11" s="1">
        <v>57.4818</v>
      </c>
      <c r="L11">
        <f t="shared" si="1"/>
        <v>9.8733860108764851E-2</v>
      </c>
      <c r="M11">
        <f t="shared" si="2"/>
        <v>0.4621915900285975</v>
      </c>
      <c r="N11">
        <f t="shared" si="3"/>
        <v>0.97786764262000003</v>
      </c>
      <c r="O11">
        <f t="shared" si="4"/>
        <v>0.97948294292445959</v>
      </c>
      <c r="P11">
        <f t="shared" si="5"/>
        <v>0.9983508642839285</v>
      </c>
      <c r="Q11">
        <f t="shared" si="6"/>
        <v>0.10080202092542154</v>
      </c>
      <c r="R11">
        <f t="shared" si="7"/>
        <v>0.46539646447190897</v>
      </c>
      <c r="S11">
        <f t="shared" si="8"/>
        <v>69.002936857562403</v>
      </c>
      <c r="T11">
        <f t="shared" si="9"/>
        <v>0.28215069901025258</v>
      </c>
      <c r="U11">
        <f t="shared" si="10"/>
        <v>282.15069901025259</v>
      </c>
    </row>
    <row r="12" spans="1:22">
      <c r="E12" s="1">
        <v>8.2241999999999997</v>
      </c>
      <c r="F12" s="1">
        <v>9.5225000000000009</v>
      </c>
      <c r="G12" s="1">
        <f t="shared" si="0"/>
        <v>9.0029368575624087</v>
      </c>
      <c r="I12" s="1">
        <v>65</v>
      </c>
      <c r="J12" s="1">
        <v>6.4264000000000001</v>
      </c>
      <c r="K12" s="1">
        <v>52.1265</v>
      </c>
      <c r="L12">
        <f t="shared" si="1"/>
        <v>0.12328470163928136</v>
      </c>
      <c r="M12">
        <f t="shared" si="2"/>
        <v>0.49770239370170655</v>
      </c>
      <c r="N12">
        <f t="shared" si="3"/>
        <v>0.97830353055431951</v>
      </c>
      <c r="O12">
        <f t="shared" si="4"/>
        <v>0.98057127624800344</v>
      </c>
      <c r="P12">
        <f t="shared" si="5"/>
        <v>0.99768732192282739</v>
      </c>
      <c r="Q12">
        <f t="shared" si="6"/>
        <v>0.12572742504860046</v>
      </c>
      <c r="R12">
        <f t="shared" si="7"/>
        <v>0.5009680247116377</v>
      </c>
      <c r="S12">
        <f t="shared" si="8"/>
        <v>74.002936857562403</v>
      </c>
      <c r="T12">
        <f t="shared" si="9"/>
        <v>0.26996688160227672</v>
      </c>
      <c r="U12">
        <f t="shared" si="10"/>
        <v>269.96688160227671</v>
      </c>
    </row>
    <row r="13" spans="1:22">
      <c r="E13" s="1">
        <v>8.2241999999999997</v>
      </c>
      <c r="F13" s="1">
        <v>9.5225000000000009</v>
      </c>
      <c r="G13" s="1">
        <f t="shared" si="0"/>
        <v>9.0029368575624087</v>
      </c>
      <c r="I13" s="1">
        <v>70</v>
      </c>
      <c r="J13" s="1">
        <v>7.3783000000000003</v>
      </c>
      <c r="K13" s="1">
        <v>47.621000000000002</v>
      </c>
      <c r="L13">
        <f t="shared" si="1"/>
        <v>0.15493794754415069</v>
      </c>
      <c r="M13">
        <f t="shared" si="2"/>
        <v>0.53709684285806947</v>
      </c>
      <c r="N13">
        <f t="shared" si="3"/>
        <v>0.97809128253938771</v>
      </c>
      <c r="O13">
        <f t="shared" si="4"/>
        <v>0.9809517319311527</v>
      </c>
      <c r="P13">
        <f t="shared" si="5"/>
        <v>0.9970840059723084</v>
      </c>
      <c r="Q13">
        <f t="shared" si="6"/>
        <v>0.15794655588112555</v>
      </c>
      <c r="R13">
        <f t="shared" si="7"/>
        <v>0.54055105599017994</v>
      </c>
      <c r="S13">
        <f t="shared" si="8"/>
        <v>79.002936857562403</v>
      </c>
      <c r="T13">
        <f t="shared" si="9"/>
        <v>0.26508307925942315</v>
      </c>
      <c r="U13">
        <f t="shared" si="10"/>
        <v>265.08307925942313</v>
      </c>
    </row>
    <row r="14" spans="1:22">
      <c r="E14" s="1">
        <v>8.2241999999999997</v>
      </c>
      <c r="F14" s="1">
        <v>9.5225000000000009</v>
      </c>
      <c r="G14" s="1">
        <f t="shared" si="0"/>
        <v>9.0029368575624087</v>
      </c>
      <c r="I14" s="1">
        <v>75</v>
      </c>
      <c r="J14" s="1">
        <v>8.2346000000000004</v>
      </c>
      <c r="K14" s="1">
        <v>45.743600000000001</v>
      </c>
      <c r="L14">
        <f t="shared" si="1"/>
        <v>0.18001643945819742</v>
      </c>
      <c r="M14">
        <f t="shared" si="2"/>
        <v>0.56463880583030512</v>
      </c>
      <c r="N14">
        <f t="shared" si="3"/>
        <v>0.97832407339946659</v>
      </c>
      <c r="O14">
        <f t="shared" si="4"/>
        <v>0.98152715278187075</v>
      </c>
      <c r="P14">
        <f t="shared" si="5"/>
        <v>0.99673663701169557</v>
      </c>
      <c r="Q14">
        <f t="shared" si="6"/>
        <v>0.18340444168863793</v>
      </c>
      <c r="R14">
        <f t="shared" si="7"/>
        <v>0.5681590774026275</v>
      </c>
      <c r="S14">
        <f t="shared" si="8"/>
        <v>84.002936857562403</v>
      </c>
      <c r="T14">
        <f t="shared" si="9"/>
        <v>0.26717601799720597</v>
      </c>
      <c r="U14">
        <f t="shared" si="10"/>
        <v>267.17601799720597</v>
      </c>
    </row>
    <row r="15" spans="1:22">
      <c r="E15" s="1">
        <v>8.2241999999999997</v>
      </c>
      <c r="F15" s="1">
        <v>9.5225000000000009</v>
      </c>
      <c r="G15" s="1">
        <f t="shared" si="0"/>
        <v>9.0029368575624087</v>
      </c>
      <c r="I15" s="1">
        <v>80</v>
      </c>
      <c r="J15" s="1">
        <v>9.1716999999999995</v>
      </c>
      <c r="K15" s="1">
        <v>41.9495</v>
      </c>
      <c r="L15">
        <f t="shared" si="1"/>
        <v>0.21863669412031131</v>
      </c>
      <c r="M15">
        <f t="shared" si="2"/>
        <v>0.60243151634757275</v>
      </c>
      <c r="N15">
        <f t="shared" si="3"/>
        <v>0.97837798953484378</v>
      </c>
      <c r="O15">
        <f t="shared" si="4"/>
        <v>0.9818623887343858</v>
      </c>
      <c r="P15">
        <f t="shared" si="5"/>
        <v>0.99645123467451135</v>
      </c>
      <c r="Q15">
        <f t="shared" si="6"/>
        <v>0.22267549569969022</v>
      </c>
      <c r="R15">
        <f t="shared" si="7"/>
        <v>0.60611841087439344</v>
      </c>
      <c r="S15">
        <f t="shared" si="8"/>
        <v>89.002936857562403</v>
      </c>
      <c r="T15">
        <f t="shared" si="9"/>
        <v>0.25749394099280365</v>
      </c>
      <c r="U15">
        <f t="shared" si="10"/>
        <v>257.49394099280363</v>
      </c>
    </row>
    <row r="16" spans="1:22">
      <c r="E16" s="1">
        <v>8.2241999999999997</v>
      </c>
      <c r="F16" s="1">
        <v>9.5225000000000009</v>
      </c>
      <c r="G16" s="1">
        <f t="shared" si="0"/>
        <v>9.0029368575624087</v>
      </c>
      <c r="I16" s="1">
        <v>85</v>
      </c>
      <c r="J16" s="1">
        <v>10.281700000000001</v>
      </c>
      <c r="K16" s="1">
        <v>37.977499999999999</v>
      </c>
      <c r="L16">
        <f t="shared" si="1"/>
        <v>0.27073135409123827</v>
      </c>
      <c r="M16">
        <f t="shared" si="2"/>
        <v>0.64691345667379896</v>
      </c>
      <c r="N16">
        <f t="shared" si="3"/>
        <v>0.97805506682671284</v>
      </c>
      <c r="O16">
        <f t="shared" si="4"/>
        <v>0.98183021181943353</v>
      </c>
      <c r="P16">
        <f t="shared" si="5"/>
        <v>0.99615499202685465</v>
      </c>
      <c r="Q16">
        <f t="shared" si="6"/>
        <v>0.27574151908561145</v>
      </c>
      <c r="R16">
        <f t="shared" si="7"/>
        <v>0.65087969182038852</v>
      </c>
      <c r="S16">
        <f t="shared" si="8"/>
        <v>94.002936857562403</v>
      </c>
      <c r="T16">
        <f t="shared" si="9"/>
        <v>0.24735202278067614</v>
      </c>
      <c r="U16">
        <f t="shared" si="10"/>
        <v>247.35202278067615</v>
      </c>
    </row>
    <row r="17" spans="5:21">
      <c r="E17" s="1">
        <v>8.2241999999999997</v>
      </c>
      <c r="F17" s="1">
        <v>9.5225000000000009</v>
      </c>
      <c r="G17" s="1">
        <f t="shared" si="0"/>
        <v>9.0029368575624087</v>
      </c>
      <c r="I17" s="1">
        <v>90</v>
      </c>
      <c r="J17" s="1">
        <v>10.9305</v>
      </c>
      <c r="K17" s="1">
        <v>36.930100000000003</v>
      </c>
      <c r="L17">
        <f t="shared" si="1"/>
        <v>0.2959780775031749</v>
      </c>
      <c r="M17">
        <f t="shared" si="2"/>
        <v>0.66642791707998472</v>
      </c>
      <c r="N17">
        <f t="shared" si="3"/>
        <v>0.97892781775000004</v>
      </c>
      <c r="O17">
        <f t="shared" si="4"/>
        <v>0.9826770505358482</v>
      </c>
      <c r="P17">
        <f t="shared" si="5"/>
        <v>0.99618467452373727</v>
      </c>
      <c r="Q17">
        <f t="shared" si="6"/>
        <v>0.30119567495931621</v>
      </c>
      <c r="R17">
        <f t="shared" si="7"/>
        <v>0.67032113139095961</v>
      </c>
      <c r="S17">
        <f t="shared" si="8"/>
        <v>99.002936857562403</v>
      </c>
      <c r="T17">
        <f t="shared" si="9"/>
        <v>0.24280127501622292</v>
      </c>
      <c r="U17">
        <f t="shared" si="10"/>
        <v>242.80127501622292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7CE5-694F-4B78-87C4-E7E160C37587}">
  <dimension ref="A1:V17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49</v>
      </c>
      <c r="B2" s="2">
        <v>3.9</v>
      </c>
      <c r="C2" s="2">
        <v>25.05667</v>
      </c>
      <c r="D2" s="2">
        <v>45</v>
      </c>
      <c r="E2" s="2">
        <v>8.1649999999999991</v>
      </c>
      <c r="F2" s="2">
        <v>9.5225000000000009</v>
      </c>
      <c r="G2" s="2">
        <f>0.06555/0.0067</f>
        <v>9.7835820895522385</v>
      </c>
      <c r="H2" s="2" t="s">
        <v>9</v>
      </c>
      <c r="I2" s="2">
        <v>45</v>
      </c>
      <c r="J2" s="2">
        <v>3.0779000000000001</v>
      </c>
      <c r="K2" s="2">
        <v>65.892300000000006</v>
      </c>
      <c r="L2" s="3">
        <f>J2:J25/K2:K25</f>
        <v>4.6711072462184498E-2</v>
      </c>
      <c r="M2" s="3">
        <f>(L2:L25)^(1/3)</f>
        <v>0.36014159158260162</v>
      </c>
      <c r="N2" s="3">
        <f>1-((3/10)*(J2:J25/I2:I25)^2)-((3/2)*((J2:J25*E2)/(I2:I25)^2))</f>
        <v>0.97998092801333336</v>
      </c>
      <c r="O2" s="3">
        <f>1-(F2/I2:I25)^3-((9/8)*(1-(F2/I2:I25)^2)*((J2:J25*E2)/I2:I25^2))-((9/35)*(J2:J25/I2:I25)^2)</f>
        <v>0.9759847285012393</v>
      </c>
      <c r="P2" s="3">
        <f>N2:N25/O2:O25</f>
        <v>1.0040945307804465</v>
      </c>
      <c r="Q2" s="3">
        <f>L2:L25/O2:O25</f>
        <v>4.7860454265422646E-2</v>
      </c>
      <c r="R2" s="3">
        <f>Q2:Q25^(1/3)</f>
        <v>0.3630715941866407</v>
      </c>
      <c r="S2" s="3">
        <f>I2:I25+G2</f>
        <v>54.78358208955224</v>
      </c>
      <c r="T2" s="3">
        <f>(P2:P25*3*K2:K25*J2:J25)/(2*25.05667*S2:S25)</f>
        <v>0.22252625254613723</v>
      </c>
      <c r="U2" s="3">
        <f>T2:T25*1000</f>
        <v>222.52625254613721</v>
      </c>
      <c r="V2">
        <f>AVERAGE(U3:U17)</f>
        <v>233.21386225989085</v>
      </c>
    </row>
    <row r="3" spans="1:22">
      <c r="E3" s="1">
        <v>8.1649999999999991</v>
      </c>
      <c r="F3" s="1">
        <v>9.5225000000000009</v>
      </c>
      <c r="G3" s="1">
        <f t="shared" ref="G3:G17" si="0">0.06555/0.0067</f>
        <v>9.7835820895522385</v>
      </c>
      <c r="I3" s="1">
        <v>46</v>
      </c>
      <c r="J3" s="1">
        <v>3.3187000000000002</v>
      </c>
      <c r="K3" s="1">
        <v>64.259900000000002</v>
      </c>
      <c r="L3">
        <f t="shared" ref="L3:L17" si="1">J3:J26/K3:K26</f>
        <v>5.1644960543044731E-2</v>
      </c>
      <c r="M3">
        <f t="shared" ref="M3:M17" si="2">(L3:L26)^(1/3)</f>
        <v>0.37239969503064863</v>
      </c>
      <c r="N3">
        <f t="shared" ref="N3:N17" si="3">1-((3/10)*(J3:J26/I3:I26)^2)-((3/2)*((J3:J26*E3)/(I3:I26)^2))</f>
        <v>0.97922972157041588</v>
      </c>
      <c r="O3">
        <f t="shared" ref="O3:O17" si="4">1-(F3/I3:I26)^3-((9/8)*(1-(F3/I3:I26)^2)*((J3:J26*E3)/I3:I26^2))-((9/35)*(J3:J26/I3:I26)^2)</f>
        <v>0.9760012200281315</v>
      </c>
      <c r="P3">
        <f t="shared" ref="P3:P17" si="5">N3:N26/O3:O26</f>
        <v>1.0033078867895178</v>
      </c>
      <c r="Q3">
        <f t="shared" ref="Q3:Q17" si="6">L3:L26/O3:O26</f>
        <v>5.291485244409444E-2</v>
      </c>
      <c r="R3">
        <f t="shared" ref="R3:R17" si="7">Q3:Q26^(1/3)</f>
        <v>0.37542731128123763</v>
      </c>
      <c r="S3">
        <f t="shared" ref="S3:S17" si="8">I3:I26+G3</f>
        <v>55.78358208955224</v>
      </c>
      <c r="T3">
        <f t="shared" ref="T3:T17" si="9">(P3:P26*3*K3:K26*J3:J26)/(2*25.05667*S3:S26)</f>
        <v>0.22961686015638916</v>
      </c>
      <c r="U3">
        <f t="shared" ref="U3:U17" si="10">T3:T26*1000</f>
        <v>229.61686015638915</v>
      </c>
    </row>
    <row r="4" spans="1:22">
      <c r="E4" s="1">
        <v>8.1649999999999991</v>
      </c>
      <c r="F4" s="1">
        <v>9.5225000000000009</v>
      </c>
      <c r="G4" s="1">
        <f t="shared" si="0"/>
        <v>9.7835820895522385</v>
      </c>
      <c r="I4" s="1">
        <v>47</v>
      </c>
      <c r="J4" s="1">
        <v>3.5320999999999998</v>
      </c>
      <c r="K4" s="1">
        <v>63.884500000000003</v>
      </c>
      <c r="L4">
        <f t="shared" si="1"/>
        <v>5.5288841581291229E-2</v>
      </c>
      <c r="M4">
        <f t="shared" si="2"/>
        <v>0.38095981183033417</v>
      </c>
      <c r="N4">
        <f t="shared" si="3"/>
        <v>0.97872244731869629</v>
      </c>
      <c r="O4">
        <f t="shared" si="4"/>
        <v>0.97614635288536633</v>
      </c>
      <c r="P4">
        <f t="shared" si="5"/>
        <v>1.002639045288358</v>
      </c>
      <c r="Q4">
        <f t="shared" si="6"/>
        <v>5.6639910007207771E-2</v>
      </c>
      <c r="R4">
        <f t="shared" si="7"/>
        <v>0.38403798725219929</v>
      </c>
      <c r="S4">
        <f t="shared" si="8"/>
        <v>56.78358208955224</v>
      </c>
      <c r="T4">
        <f t="shared" si="9"/>
        <v>0.23851638800940642</v>
      </c>
      <c r="U4">
        <f t="shared" si="10"/>
        <v>238.51638800940643</v>
      </c>
    </row>
    <row r="5" spans="1:22">
      <c r="E5" s="1">
        <v>8.1649999999999991</v>
      </c>
      <c r="F5" s="1">
        <v>9.5225000000000009</v>
      </c>
      <c r="G5" s="1">
        <f t="shared" si="0"/>
        <v>9.7835820895522385</v>
      </c>
      <c r="I5" s="1">
        <v>48</v>
      </c>
      <c r="J5" s="1">
        <v>3.6251000000000002</v>
      </c>
      <c r="K5" s="1">
        <v>63.469499999999996</v>
      </c>
      <c r="L5">
        <f t="shared" si="1"/>
        <v>5.7115622464333271E-2</v>
      </c>
      <c r="M5">
        <f t="shared" si="2"/>
        <v>0.38511015561461059</v>
      </c>
      <c r="N5">
        <f t="shared" si="3"/>
        <v>0.97901874251171872</v>
      </c>
      <c r="O5">
        <f t="shared" si="4"/>
        <v>0.97684172142549897</v>
      </c>
      <c r="P5">
        <f t="shared" si="5"/>
        <v>1.0022286323756144</v>
      </c>
      <c r="Q5">
        <f t="shared" si="6"/>
        <v>5.8469679592498158E-2</v>
      </c>
      <c r="R5">
        <f t="shared" si="7"/>
        <v>0.38812972508995353</v>
      </c>
      <c r="S5">
        <f t="shared" si="8"/>
        <v>57.78358208955224</v>
      </c>
      <c r="T5">
        <f t="shared" si="9"/>
        <v>0.23889954301115945</v>
      </c>
      <c r="U5">
        <f t="shared" si="10"/>
        <v>238.89954301115947</v>
      </c>
    </row>
    <row r="6" spans="1:22">
      <c r="E6" s="1">
        <v>8.1649999999999991</v>
      </c>
      <c r="F6" s="1">
        <v>9.5225000000000009</v>
      </c>
      <c r="G6" s="1">
        <f t="shared" si="0"/>
        <v>9.7835820895522385</v>
      </c>
      <c r="I6" s="1">
        <v>49</v>
      </c>
      <c r="J6" s="1">
        <v>3.7616999999999998</v>
      </c>
      <c r="K6" s="1">
        <v>62.619799999999998</v>
      </c>
      <c r="L6">
        <f t="shared" si="1"/>
        <v>6.0072053887109185E-2</v>
      </c>
      <c r="M6">
        <f t="shared" si="2"/>
        <v>0.39164341333317432</v>
      </c>
      <c r="N6">
        <f t="shared" si="3"/>
        <v>0.97904350819783426</v>
      </c>
      <c r="O6">
        <f t="shared" si="4"/>
        <v>0.9772972396170001</v>
      </c>
      <c r="P6">
        <f t="shared" si="5"/>
        <v>1.0017868346599634</v>
      </c>
      <c r="Q6">
        <f t="shared" si="6"/>
        <v>6.1467536642844961E-2</v>
      </c>
      <c r="R6">
        <f t="shared" si="7"/>
        <v>0.39465287378345226</v>
      </c>
      <c r="S6">
        <f t="shared" si="8"/>
        <v>58.78358208955224</v>
      </c>
      <c r="T6">
        <f t="shared" si="9"/>
        <v>0.24031617997259808</v>
      </c>
      <c r="U6">
        <f t="shared" si="10"/>
        <v>240.31617997259806</v>
      </c>
    </row>
    <row r="7" spans="1:22">
      <c r="E7" s="1">
        <v>8.1649999999999991</v>
      </c>
      <c r="F7" s="1">
        <v>9.5225000000000009</v>
      </c>
      <c r="G7" s="1">
        <f t="shared" si="0"/>
        <v>9.7835820895522385</v>
      </c>
      <c r="I7" s="1">
        <v>50</v>
      </c>
      <c r="J7" s="1">
        <v>3.8984000000000001</v>
      </c>
      <c r="K7" s="1">
        <v>62.086199999999998</v>
      </c>
      <c r="L7">
        <f t="shared" si="1"/>
        <v>6.279012083200454E-2</v>
      </c>
      <c r="M7">
        <f t="shared" si="2"/>
        <v>0.39746336612564398</v>
      </c>
      <c r="N7">
        <f t="shared" si="3"/>
        <v>0.97907803569279994</v>
      </c>
      <c r="O7">
        <f t="shared" si="4"/>
        <v>0.97772481722026516</v>
      </c>
      <c r="P7">
        <f t="shared" si="5"/>
        <v>1.0013840484037033</v>
      </c>
      <c r="Q7">
        <f t="shared" si="6"/>
        <v>6.422064749314732E-2</v>
      </c>
      <c r="R7">
        <f t="shared" si="7"/>
        <v>0.40045915501739737</v>
      </c>
      <c r="S7">
        <f t="shared" si="8"/>
        <v>59.78358208955224</v>
      </c>
      <c r="T7">
        <f t="shared" si="9"/>
        <v>0.24269907400452431</v>
      </c>
      <c r="U7">
        <f t="shared" si="10"/>
        <v>242.69907400452431</v>
      </c>
    </row>
    <row r="8" spans="1:22">
      <c r="E8" s="1">
        <v>8.1649999999999991</v>
      </c>
      <c r="F8" s="1">
        <v>9.5225000000000009</v>
      </c>
      <c r="G8" s="1">
        <f t="shared" si="0"/>
        <v>9.7835820895522385</v>
      </c>
      <c r="I8" s="1">
        <v>51</v>
      </c>
      <c r="J8" s="1">
        <v>3.9758</v>
      </c>
      <c r="K8" s="1">
        <v>60.920299999999997</v>
      </c>
      <c r="L8">
        <f t="shared" si="1"/>
        <v>6.5262318143541651E-2</v>
      </c>
      <c r="M8">
        <f t="shared" si="2"/>
        <v>0.40261272645983126</v>
      </c>
      <c r="N8">
        <f t="shared" si="3"/>
        <v>0.97945570696193773</v>
      </c>
      <c r="O8">
        <f t="shared" si="4"/>
        <v>0.9783765195284776</v>
      </c>
      <c r="P8">
        <f t="shared" si="5"/>
        <v>1.0011030389751996</v>
      </c>
      <c r="Q8">
        <f t="shared" si="6"/>
        <v>6.670470605222048E-2</v>
      </c>
      <c r="R8">
        <f t="shared" si="7"/>
        <v>0.40555723945025829</v>
      </c>
      <c r="S8">
        <f t="shared" si="8"/>
        <v>60.78358208955224</v>
      </c>
      <c r="T8">
        <f t="shared" si="9"/>
        <v>0.2388069478037948</v>
      </c>
      <c r="U8">
        <f t="shared" si="10"/>
        <v>238.8069478037948</v>
      </c>
    </row>
    <row r="9" spans="1:22">
      <c r="E9" s="1">
        <v>8.1649999999999991</v>
      </c>
      <c r="F9" s="1">
        <v>9.5225000000000009</v>
      </c>
      <c r="G9" s="1">
        <f t="shared" si="0"/>
        <v>9.7835820895522385</v>
      </c>
      <c r="I9" s="1">
        <v>52</v>
      </c>
      <c r="J9" s="1">
        <v>4.1257000000000001</v>
      </c>
      <c r="K9" s="1">
        <v>59.457999999999998</v>
      </c>
      <c r="L9">
        <f t="shared" si="1"/>
        <v>6.9388475898953889E-2</v>
      </c>
      <c r="M9">
        <f t="shared" si="2"/>
        <v>0.41092489180095376</v>
      </c>
      <c r="N9">
        <f t="shared" si="3"/>
        <v>0.97942458176886094</v>
      </c>
      <c r="O9">
        <f t="shared" si="4"/>
        <v>0.97869504325573509</v>
      </c>
      <c r="P9">
        <f t="shared" si="5"/>
        <v>1.0007454196464498</v>
      </c>
      <c r="Q9">
        <f t="shared" si="6"/>
        <v>7.089897550530716E-2</v>
      </c>
      <c r="R9">
        <f t="shared" si="7"/>
        <v>0.41388528546526088</v>
      </c>
      <c r="S9">
        <f t="shared" si="8"/>
        <v>61.78358208955224</v>
      </c>
      <c r="T9">
        <f t="shared" si="9"/>
        <v>0.2378627164517082</v>
      </c>
      <c r="U9">
        <f t="shared" si="10"/>
        <v>237.8627164517082</v>
      </c>
    </row>
    <row r="10" spans="1:22">
      <c r="E10" s="1">
        <v>8.1649999999999991</v>
      </c>
      <c r="F10" s="1">
        <v>9.5225000000000009</v>
      </c>
      <c r="G10" s="1">
        <f t="shared" si="0"/>
        <v>9.7835820895522385</v>
      </c>
      <c r="I10" s="1">
        <v>55</v>
      </c>
      <c r="J10" s="1">
        <v>4.5340999999999996</v>
      </c>
      <c r="K10" s="1">
        <v>58.114199999999997</v>
      </c>
      <c r="L10">
        <f t="shared" si="1"/>
        <v>7.8020518221019991E-2</v>
      </c>
      <c r="M10">
        <f t="shared" si="2"/>
        <v>0.42730332956689049</v>
      </c>
      <c r="N10">
        <f t="shared" si="3"/>
        <v>0.97960369963867766</v>
      </c>
      <c r="O10">
        <f t="shared" si="4"/>
        <v>0.97970707552613956</v>
      </c>
      <c r="P10">
        <f t="shared" si="5"/>
        <v>0.99989448286120997</v>
      </c>
      <c r="Q10">
        <f t="shared" si="6"/>
        <v>7.9636577268894421E-2</v>
      </c>
      <c r="R10">
        <f t="shared" si="7"/>
        <v>0.4302334720376958</v>
      </c>
      <c r="S10">
        <f t="shared" si="8"/>
        <v>64.78358208955224</v>
      </c>
      <c r="T10">
        <f t="shared" si="9"/>
        <v>0.24346160343837014</v>
      </c>
      <c r="U10">
        <f t="shared" si="10"/>
        <v>243.46160343837013</v>
      </c>
    </row>
    <row r="11" spans="1:22">
      <c r="E11" s="1">
        <v>8.1649999999999991</v>
      </c>
      <c r="F11" s="1">
        <v>9.5225000000000009</v>
      </c>
      <c r="G11" s="1">
        <f t="shared" si="0"/>
        <v>9.7835820895522385</v>
      </c>
      <c r="I11" s="1">
        <v>60</v>
      </c>
      <c r="J11" s="1">
        <v>5.2866999999999997</v>
      </c>
      <c r="K11" s="1">
        <v>53.667900000000003</v>
      </c>
      <c r="L11">
        <f t="shared" si="1"/>
        <v>9.850767404724238E-2</v>
      </c>
      <c r="M11">
        <f t="shared" si="2"/>
        <v>0.46183838047753062</v>
      </c>
      <c r="N11">
        <f t="shared" si="3"/>
        <v>0.97968510630083339</v>
      </c>
      <c r="O11">
        <f t="shared" si="4"/>
        <v>0.98085645880004269</v>
      </c>
      <c r="P11">
        <f t="shared" si="5"/>
        <v>0.99880578601619008</v>
      </c>
      <c r="Q11">
        <f t="shared" si="6"/>
        <v>0.10043026496227023</v>
      </c>
      <c r="R11">
        <f t="shared" si="7"/>
        <v>0.46482363522091841</v>
      </c>
      <c r="S11">
        <f t="shared" si="8"/>
        <v>69.78358208955224</v>
      </c>
      <c r="T11">
        <f t="shared" si="9"/>
        <v>0.2431056011402542</v>
      </c>
      <c r="U11">
        <f t="shared" si="10"/>
        <v>243.10560114025421</v>
      </c>
    </row>
    <row r="12" spans="1:22">
      <c r="E12" s="1">
        <v>8.1649999999999991</v>
      </c>
      <c r="F12" s="1">
        <v>9.5225000000000009</v>
      </c>
      <c r="G12" s="1">
        <f t="shared" si="0"/>
        <v>9.7835820895522385</v>
      </c>
      <c r="I12" s="1">
        <v>65</v>
      </c>
      <c r="J12" s="1">
        <v>6.0442999999999998</v>
      </c>
      <c r="K12" s="1">
        <v>48.510199999999998</v>
      </c>
      <c r="L12">
        <f t="shared" si="1"/>
        <v>0.12459853803942264</v>
      </c>
      <c r="M12">
        <f t="shared" si="2"/>
        <v>0.4994641433062606</v>
      </c>
      <c r="N12">
        <f t="shared" si="3"/>
        <v>0.9798845839060355</v>
      </c>
      <c r="O12">
        <f t="shared" si="4"/>
        <v>0.98177331427803738</v>
      </c>
      <c r="P12">
        <f t="shared" si="5"/>
        <v>0.99807620522524509</v>
      </c>
      <c r="Q12">
        <f t="shared" si="6"/>
        <v>0.12691171803854553</v>
      </c>
      <c r="R12">
        <f t="shared" si="7"/>
        <v>0.50253607231097852</v>
      </c>
      <c r="S12">
        <f t="shared" si="8"/>
        <v>74.78358208955224</v>
      </c>
      <c r="T12">
        <f t="shared" si="9"/>
        <v>0.2342633884629656</v>
      </c>
      <c r="U12">
        <f t="shared" si="10"/>
        <v>234.26338846296559</v>
      </c>
    </row>
    <row r="13" spans="1:22">
      <c r="E13" s="1">
        <v>8.1649999999999991</v>
      </c>
      <c r="F13" s="1">
        <v>9.5225000000000009</v>
      </c>
      <c r="G13" s="1">
        <f t="shared" si="0"/>
        <v>9.7835820895522385</v>
      </c>
      <c r="I13" s="1">
        <v>70</v>
      </c>
      <c r="J13" s="1">
        <v>6.7343000000000002</v>
      </c>
      <c r="K13" s="1">
        <v>45.387900000000002</v>
      </c>
      <c r="L13">
        <f t="shared" si="1"/>
        <v>0.14837214323641323</v>
      </c>
      <c r="M13">
        <f t="shared" si="2"/>
        <v>0.52940022722871516</v>
      </c>
      <c r="N13">
        <f t="shared" si="3"/>
        <v>0.98039110649040817</v>
      </c>
      <c r="O13">
        <f t="shared" si="4"/>
        <v>0.98271202149871961</v>
      </c>
      <c r="P13">
        <f t="shared" si="5"/>
        <v>0.99763825519833182</v>
      </c>
      <c r="Q13">
        <f t="shared" si="6"/>
        <v>0.1509823223797884</v>
      </c>
      <c r="R13">
        <f t="shared" si="7"/>
        <v>0.53248662107764677</v>
      </c>
      <c r="S13">
        <f t="shared" si="8"/>
        <v>79.78358208955224</v>
      </c>
      <c r="T13">
        <f t="shared" si="9"/>
        <v>0.22880210596292663</v>
      </c>
      <c r="U13">
        <f t="shared" si="10"/>
        <v>228.80210596292665</v>
      </c>
    </row>
    <row r="14" spans="1:22">
      <c r="E14" s="1">
        <v>8.1649999999999991</v>
      </c>
      <c r="F14" s="1">
        <v>9.5225000000000009</v>
      </c>
      <c r="G14" s="1">
        <f t="shared" si="0"/>
        <v>9.7835820895522385</v>
      </c>
      <c r="I14" s="1">
        <v>75</v>
      </c>
      <c r="J14" s="1">
        <v>7.5545</v>
      </c>
      <c r="K14" s="1">
        <v>42.4435</v>
      </c>
      <c r="L14">
        <f t="shared" si="1"/>
        <v>0.17798956259497919</v>
      </c>
      <c r="M14">
        <f t="shared" si="2"/>
        <v>0.56251163771936497</v>
      </c>
      <c r="N14">
        <f t="shared" si="3"/>
        <v>0.98050757692000001</v>
      </c>
      <c r="O14">
        <f t="shared" si="4"/>
        <v>0.98320666614283969</v>
      </c>
      <c r="P14">
        <f t="shared" si="5"/>
        <v>0.99725480988302462</v>
      </c>
      <c r="Q14">
        <f t="shared" si="6"/>
        <v>0.18102965401286344</v>
      </c>
      <c r="R14">
        <f t="shared" si="7"/>
        <v>0.56569617269202177</v>
      </c>
      <c r="S14">
        <f t="shared" si="8"/>
        <v>84.78358208955224</v>
      </c>
      <c r="T14">
        <f t="shared" si="9"/>
        <v>0.22577674064875447</v>
      </c>
      <c r="U14">
        <f t="shared" si="10"/>
        <v>225.77674064875447</v>
      </c>
    </row>
    <row r="15" spans="1:22">
      <c r="E15" s="1">
        <v>8.1649999999999991</v>
      </c>
      <c r="F15" s="1">
        <v>9.5225000000000009</v>
      </c>
      <c r="G15" s="1">
        <f t="shared" si="0"/>
        <v>9.7835820895522385</v>
      </c>
      <c r="I15" s="1">
        <v>80</v>
      </c>
      <c r="J15" s="1">
        <v>8.4257000000000009</v>
      </c>
      <c r="K15" s="1">
        <v>39.6374</v>
      </c>
      <c r="L15">
        <f t="shared" si="1"/>
        <v>0.21256944199165437</v>
      </c>
      <c r="M15">
        <f t="shared" si="2"/>
        <v>0.59680659111952938</v>
      </c>
      <c r="N15">
        <f t="shared" si="3"/>
        <v>0.98054820517234376</v>
      </c>
      <c r="O15">
        <f t="shared" si="4"/>
        <v>0.98353945937555187</v>
      </c>
      <c r="P15">
        <f t="shared" si="5"/>
        <v>0.99695868409274879</v>
      </c>
      <c r="Q15">
        <f t="shared" si="6"/>
        <v>0.21612700941008964</v>
      </c>
      <c r="R15">
        <f t="shared" si="7"/>
        <v>0.60011757826305356</v>
      </c>
      <c r="S15">
        <f t="shared" si="8"/>
        <v>89.78358208955224</v>
      </c>
      <c r="T15">
        <f t="shared" si="9"/>
        <v>0.22200322797310207</v>
      </c>
      <c r="U15">
        <f t="shared" si="10"/>
        <v>222.00322797310207</v>
      </c>
    </row>
    <row r="16" spans="1:22">
      <c r="E16" s="1">
        <v>8.1649999999999991</v>
      </c>
      <c r="F16" s="1">
        <v>9.5225000000000009</v>
      </c>
      <c r="G16" s="1">
        <f t="shared" si="0"/>
        <v>9.7835820895522385</v>
      </c>
      <c r="I16" s="1">
        <v>85</v>
      </c>
      <c r="J16" s="1">
        <v>9.4517000000000007</v>
      </c>
      <c r="K16" s="1">
        <v>36.851100000000002</v>
      </c>
      <c r="L16">
        <f t="shared" si="1"/>
        <v>0.25648352423672566</v>
      </c>
      <c r="M16">
        <f t="shared" si="2"/>
        <v>0.6353599333651464</v>
      </c>
      <c r="N16">
        <f t="shared" si="3"/>
        <v>0.98026850026062284</v>
      </c>
      <c r="O16">
        <f t="shared" si="4"/>
        <v>0.98354871986518722</v>
      </c>
      <c r="P16">
        <f t="shared" si="5"/>
        <v>0.99666491396072987</v>
      </c>
      <c r="Q16">
        <f t="shared" si="6"/>
        <v>0.26077358351082119</v>
      </c>
      <c r="R16">
        <f t="shared" si="7"/>
        <v>0.63888280313955303</v>
      </c>
      <c r="S16">
        <f t="shared" si="8"/>
        <v>94.78358208955224</v>
      </c>
      <c r="T16">
        <f t="shared" si="9"/>
        <v>0.21925239320119722</v>
      </c>
      <c r="U16">
        <f t="shared" si="10"/>
        <v>219.25239320119721</v>
      </c>
    </row>
    <row r="17" spans="5:21">
      <c r="E17" s="1">
        <v>8.1649999999999991</v>
      </c>
      <c r="F17" s="1">
        <v>9.5225000000000009</v>
      </c>
      <c r="G17" s="1">
        <f t="shared" si="0"/>
        <v>9.7835820895522385</v>
      </c>
      <c r="I17" s="1">
        <v>90</v>
      </c>
      <c r="J17" s="1">
        <v>10.303100000000001</v>
      </c>
      <c r="K17" s="1">
        <v>34.874899999999997</v>
      </c>
      <c r="L17">
        <f t="shared" si="1"/>
        <v>0.29543023779279659</v>
      </c>
      <c r="M17">
        <f t="shared" si="2"/>
        <v>0.6660164888984843</v>
      </c>
      <c r="N17">
        <f t="shared" si="3"/>
        <v>0.98048970640333333</v>
      </c>
      <c r="O17">
        <f t="shared" si="4"/>
        <v>0.98389236084890375</v>
      </c>
      <c r="P17">
        <f t="shared" si="5"/>
        <v>0.99654163953195596</v>
      </c>
      <c r="Q17">
        <f t="shared" si="6"/>
        <v>0.30026682749919814</v>
      </c>
      <c r="R17">
        <f t="shared" si="7"/>
        <v>0.66963136140307389</v>
      </c>
      <c r="S17">
        <f t="shared" si="8"/>
        <v>99.78358208955224</v>
      </c>
      <c r="T17">
        <f t="shared" si="9"/>
        <v>0.21482516366121168</v>
      </c>
      <c r="U17">
        <f t="shared" si="10"/>
        <v>214.82516366121169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9CE9-8E5A-472A-A3E2-DD3A666F914D}">
  <dimension ref="A1:V16"/>
  <sheetViews>
    <sheetView topLeftCell="I1" workbookViewId="0">
      <selection activeCell="J3" sqref="J3:J16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6.58203125" bestFit="1" customWidth="1"/>
    <col min="6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51</v>
      </c>
      <c r="B2" s="2">
        <v>3.85</v>
      </c>
      <c r="C2" s="2">
        <v>25.03</v>
      </c>
      <c r="D2" s="2">
        <v>46</v>
      </c>
      <c r="E2" s="2">
        <v>8.1950000000000003</v>
      </c>
      <c r="F2" s="2">
        <v>9.5350000000000001</v>
      </c>
      <c r="G2" s="2">
        <f>0.0772/0.00689</f>
        <v>11.204644412191582</v>
      </c>
      <c r="H2" s="2" t="s">
        <v>9</v>
      </c>
      <c r="I2" s="2">
        <v>46</v>
      </c>
      <c r="J2" s="2">
        <v>3.6354000000000002</v>
      </c>
      <c r="K2" s="2">
        <v>62.843699999999998</v>
      </c>
      <c r="L2" s="3">
        <f>J2:J25/K2:K25</f>
        <v>5.7848280734584381E-2</v>
      </c>
      <c r="M2" s="3">
        <f>(L2:L25)^(1/3)</f>
        <v>0.38674984832121823</v>
      </c>
      <c r="N2" s="3">
        <f>1-((3/10)*(J2:J25/I2:I25)^2)-((3/2)*((J2:J25*E2)/(I2:I25)^2))</f>
        <v>0.97700709147069942</v>
      </c>
      <c r="O2" s="3">
        <f>1-(F2/I2:I25)^3-((9/8)*(1-(F2/I2:I25)^2)*((J2:J25*E2)/I2:I25^2))-((9/35)*(J2:J25/I2:I25)^2)</f>
        <v>0.97432899513451598</v>
      </c>
      <c r="P2" s="3">
        <f>N2:N25/O2:O25</f>
        <v>1.0027486571266553</v>
      </c>
      <c r="Q2" s="3">
        <f>L2:L25/O2:O25</f>
        <v>5.937243069174785E-2</v>
      </c>
      <c r="R2" s="3">
        <f>Q2:Q25^(1/3)</f>
        <v>0.39011706039332678</v>
      </c>
      <c r="S2" s="3">
        <f>I2:I25+G2</f>
        <v>57.204644412191584</v>
      </c>
      <c r="T2" s="3">
        <f>(P2:P25*3*K2:K25*J2:J25)/(2*25.03*S2:S25)</f>
        <v>0.23999663791628184</v>
      </c>
      <c r="U2" s="3">
        <f>T2:T25*1000</f>
        <v>239.99663791628183</v>
      </c>
      <c r="V2">
        <f>AVERAGE(U3:U16)</f>
        <v>242.09248278798538</v>
      </c>
    </row>
    <row r="3" spans="1:22">
      <c r="E3" s="1">
        <v>8.1950000000000003</v>
      </c>
      <c r="F3" s="1">
        <v>9.5350000000000001</v>
      </c>
      <c r="G3" s="1">
        <f t="shared" ref="G3:G16" si="0">0.0772/0.00689</f>
        <v>11.204644412191582</v>
      </c>
      <c r="I3" s="1">
        <v>47</v>
      </c>
      <c r="J3" s="1">
        <v>3.7559</v>
      </c>
      <c r="K3">
        <v>60.450299999999999</v>
      </c>
      <c r="L3">
        <f t="shared" ref="L3:L16" si="1">J3:J26/K3:K26</f>
        <v>6.2132032429946589E-2</v>
      </c>
      <c r="M3">
        <f t="shared" ref="M3:M16" si="2">(L3:L26)^(1/3)</f>
        <v>0.39606991340764125</v>
      </c>
      <c r="N3">
        <f t="shared" ref="N3:N16" si="3">1-((3/10)*(J3:J26/I3:I26)^2)-((3/2)*((J3:J26*E3)/(I3:I26)^2))</f>
        <v>0.97718359611000449</v>
      </c>
      <c r="O3">
        <f t="shared" ref="O3:O16" si="4">1-(F3/I3:I26)^3-((9/8)*(1-(F3/I3:I26)^2)*((J3:J26*E3)/I3:I26^2))-((9/35)*(J3:J26/I3:I26)^2)</f>
        <v>0.97497793350667072</v>
      </c>
      <c r="P3">
        <f t="shared" ref="P3:P16" si="5">N3:N26/O3:O26</f>
        <v>1.0022622692550598</v>
      </c>
      <c r="Q3">
        <f t="shared" ref="Q3:Q16" si="6">L3:L26/O3:O26</f>
        <v>6.3726603746280058E-2</v>
      </c>
      <c r="R3">
        <f t="shared" ref="R3:R16" si="7">Q3:Q26^(1/3)</f>
        <v>0.39942961150042389</v>
      </c>
      <c r="S3">
        <f t="shared" ref="S3:S16" si="8">I3:I26+G3</f>
        <v>58.204644412191584</v>
      </c>
      <c r="T3">
        <f t="shared" ref="T3:T16" si="9">(P3:P26*3*K3:K26*J3:J26)/(2*25.03*S3:S26)</f>
        <v>0.23429694817110908</v>
      </c>
      <c r="U3">
        <f t="shared" ref="U3:U16" si="10">T3:T26*1000</f>
        <v>234.29694817110908</v>
      </c>
    </row>
    <row r="4" spans="1:22">
      <c r="E4" s="1">
        <v>8.1950000000000003</v>
      </c>
      <c r="F4" s="1">
        <v>9.5350000000000001</v>
      </c>
      <c r="G4" s="1">
        <f t="shared" si="0"/>
        <v>11.204644412191582</v>
      </c>
      <c r="I4" s="1">
        <v>48</v>
      </c>
      <c r="J4" s="1">
        <v>3.9996999999999998</v>
      </c>
      <c r="K4">
        <v>61.800699999999999</v>
      </c>
      <c r="L4">
        <f t="shared" si="1"/>
        <v>6.4719331658055657E-2</v>
      </c>
      <c r="M4">
        <f t="shared" si="2"/>
        <v>0.40149302785683683</v>
      </c>
      <c r="N4">
        <f t="shared" si="3"/>
        <v>0.97657743390755214</v>
      </c>
      <c r="O4">
        <f t="shared" si="4"/>
        <v>0.97500284336463339</v>
      </c>
      <c r="P4">
        <f t="shared" si="5"/>
        <v>1.0016149599497424</v>
      </c>
      <c r="Q4">
        <f t="shared" si="6"/>
        <v>6.6378608122532212E-2</v>
      </c>
      <c r="R4">
        <f t="shared" si="7"/>
        <v>0.40489527978376738</v>
      </c>
      <c r="S4">
        <f t="shared" si="8"/>
        <v>59.204644412191584</v>
      </c>
      <c r="T4">
        <f t="shared" si="9"/>
        <v>0.25060875970947505</v>
      </c>
      <c r="U4">
        <f t="shared" si="10"/>
        <v>250.60875970947504</v>
      </c>
    </row>
    <row r="5" spans="1:22">
      <c r="E5" s="1">
        <v>8.1950000000000003</v>
      </c>
      <c r="F5" s="1">
        <v>9.5350000000000001</v>
      </c>
      <c r="G5" s="1">
        <f t="shared" si="0"/>
        <v>11.204644412191582</v>
      </c>
      <c r="I5" s="1">
        <v>49</v>
      </c>
      <c r="J5" s="1">
        <v>4.2121000000000004</v>
      </c>
      <c r="K5">
        <v>59.462299999999999</v>
      </c>
      <c r="L5">
        <f t="shared" si="1"/>
        <v>7.0836479584543491E-2</v>
      </c>
      <c r="M5">
        <f t="shared" si="2"/>
        <v>0.41376363939212424</v>
      </c>
      <c r="N5">
        <f t="shared" si="3"/>
        <v>0.97621833603790087</v>
      </c>
      <c r="O5">
        <f t="shared" si="4"/>
        <v>0.97517025770322385</v>
      </c>
      <c r="P5">
        <f t="shared" si="5"/>
        <v>1.0010747644592295</v>
      </c>
      <c r="Q5">
        <f t="shared" si="6"/>
        <v>7.2640114918374951E-2</v>
      </c>
      <c r="R5">
        <f t="shared" si="7"/>
        <v>0.41724599256336037</v>
      </c>
      <c r="S5">
        <f t="shared" si="8"/>
        <v>60.204644412191584</v>
      </c>
      <c r="T5">
        <f t="shared" si="9"/>
        <v>0.24957857710003917</v>
      </c>
      <c r="U5">
        <f t="shared" si="10"/>
        <v>249.57857710003915</v>
      </c>
    </row>
    <row r="6" spans="1:22">
      <c r="E6" s="1">
        <v>8.1950000000000003</v>
      </c>
      <c r="F6" s="1">
        <v>9.5350000000000001</v>
      </c>
      <c r="G6" s="1">
        <f t="shared" si="0"/>
        <v>11.204644412191582</v>
      </c>
      <c r="I6" s="1">
        <v>50</v>
      </c>
      <c r="J6" s="1">
        <v>4.3554000000000004</v>
      </c>
      <c r="K6">
        <v>58.210700000000003</v>
      </c>
      <c r="L6">
        <f t="shared" si="1"/>
        <v>7.482129574116099E-2</v>
      </c>
      <c r="M6">
        <f t="shared" si="2"/>
        <v>0.42138112180630277</v>
      </c>
      <c r="N6">
        <f t="shared" si="3"/>
        <v>0.97630815710079999</v>
      </c>
      <c r="O6">
        <f t="shared" si="4"/>
        <v>0.97563623946744094</v>
      </c>
      <c r="P6">
        <f t="shared" si="5"/>
        <v>1.0006886968792035</v>
      </c>
      <c r="Q6">
        <f t="shared" si="6"/>
        <v>7.6689746356698285E-2</v>
      </c>
      <c r="R6">
        <f t="shared" si="7"/>
        <v>0.42485992404581091</v>
      </c>
      <c r="S6">
        <f t="shared" si="8"/>
        <v>61.204644412191584</v>
      </c>
      <c r="T6">
        <f t="shared" si="9"/>
        <v>0.24841390007538691</v>
      </c>
      <c r="U6">
        <f t="shared" si="10"/>
        <v>248.41390007538692</v>
      </c>
    </row>
    <row r="7" spans="1:22">
      <c r="E7" s="1">
        <v>8.1950000000000003</v>
      </c>
      <c r="F7" s="1">
        <v>9.5350000000000001</v>
      </c>
      <c r="G7" s="1">
        <f t="shared" si="0"/>
        <v>11.204644412191582</v>
      </c>
      <c r="I7" s="1">
        <v>51</v>
      </c>
      <c r="J7" s="1">
        <v>4.5397999999999996</v>
      </c>
      <c r="K7">
        <v>57.716700000000003</v>
      </c>
      <c r="L7">
        <f t="shared" si="1"/>
        <v>7.8656610651683126E-2</v>
      </c>
      <c r="M7">
        <f t="shared" si="2"/>
        <v>0.4284614397829174</v>
      </c>
      <c r="N7">
        <f t="shared" si="3"/>
        <v>0.9761674637785468</v>
      </c>
      <c r="O7">
        <f t="shared" si="4"/>
        <v>0.97589828403197665</v>
      </c>
      <c r="P7">
        <f t="shared" si="5"/>
        <v>1.0002758276666479</v>
      </c>
      <c r="Q7">
        <f t="shared" si="6"/>
        <v>8.0599189422394593E-2</v>
      </c>
      <c r="R7">
        <f t="shared" si="7"/>
        <v>0.43196002541919065</v>
      </c>
      <c r="S7">
        <f t="shared" si="8"/>
        <v>62.204644412191584</v>
      </c>
      <c r="T7">
        <f t="shared" si="9"/>
        <v>0.25250244283167839</v>
      </c>
      <c r="U7">
        <f t="shared" si="10"/>
        <v>252.50244283167839</v>
      </c>
    </row>
    <row r="8" spans="1:22">
      <c r="E8" s="1">
        <v>8.1950000000000003</v>
      </c>
      <c r="F8" s="1">
        <v>9.5350000000000001</v>
      </c>
      <c r="G8" s="1">
        <f t="shared" si="0"/>
        <v>11.204644412191582</v>
      </c>
      <c r="I8" s="1">
        <v>52</v>
      </c>
      <c r="J8" s="1">
        <v>4.6978999999999997</v>
      </c>
      <c r="K8">
        <v>57.123800000000003</v>
      </c>
      <c r="L8">
        <f t="shared" si="1"/>
        <v>8.2240677265868159E-2</v>
      </c>
      <c r="M8">
        <f t="shared" si="2"/>
        <v>0.43487278133974627</v>
      </c>
      <c r="N8">
        <f t="shared" si="3"/>
        <v>0.97619452105288462</v>
      </c>
      <c r="O8">
        <f t="shared" si="4"/>
        <v>0.97625682775365297</v>
      </c>
      <c r="P8">
        <f t="shared" si="5"/>
        <v>0.9999361779615803</v>
      </c>
      <c r="Q8">
        <f t="shared" si="6"/>
        <v>8.4240821603370777E-2</v>
      </c>
      <c r="R8">
        <f t="shared" si="7"/>
        <v>0.43837003959397547</v>
      </c>
      <c r="S8">
        <f t="shared" si="8"/>
        <v>63.204644412191584</v>
      </c>
      <c r="T8">
        <f t="shared" si="9"/>
        <v>0.25443365499671677</v>
      </c>
      <c r="U8">
        <f t="shared" si="10"/>
        <v>254.43365499671677</v>
      </c>
    </row>
    <row r="9" spans="1:22">
      <c r="E9" s="1">
        <v>8.1950000000000003</v>
      </c>
      <c r="F9" s="1">
        <v>9.5350000000000001</v>
      </c>
      <c r="G9" s="1">
        <f t="shared" si="0"/>
        <v>11.204644412191582</v>
      </c>
      <c r="I9" s="1">
        <v>55</v>
      </c>
      <c r="J9" s="1">
        <v>5.0899000000000001</v>
      </c>
      <c r="K9">
        <v>53.830300000000001</v>
      </c>
      <c r="L9">
        <f t="shared" si="1"/>
        <v>9.4554553847925799E-2</v>
      </c>
      <c r="M9">
        <f t="shared" si="2"/>
        <v>0.45557597845105496</v>
      </c>
      <c r="N9">
        <f t="shared" si="3"/>
        <v>0.97674719988330583</v>
      </c>
      <c r="O9">
        <f t="shared" si="4"/>
        <v>0.9775409137915918</v>
      </c>
      <c r="P9">
        <f t="shared" si="5"/>
        <v>0.99918805044669956</v>
      </c>
      <c r="Q9">
        <f t="shared" si="6"/>
        <v>9.6726952819986514E-2</v>
      </c>
      <c r="R9">
        <f t="shared" si="7"/>
        <v>0.45903856030756068</v>
      </c>
      <c r="S9">
        <f t="shared" si="8"/>
        <v>66.204644412191584</v>
      </c>
      <c r="T9">
        <f t="shared" si="9"/>
        <v>0.24781365539142991</v>
      </c>
      <c r="U9">
        <f t="shared" si="10"/>
        <v>247.8136553914299</v>
      </c>
    </row>
    <row r="10" spans="1:22">
      <c r="E10" s="1">
        <v>8.1950000000000003</v>
      </c>
      <c r="F10" s="1">
        <v>9.5350000000000001</v>
      </c>
      <c r="G10" s="1">
        <f t="shared" si="0"/>
        <v>11.204644412191582</v>
      </c>
      <c r="I10" s="1">
        <v>60</v>
      </c>
      <c r="J10" s="1">
        <v>5.7355</v>
      </c>
      <c r="K10">
        <v>50.042700000000004</v>
      </c>
      <c r="L10">
        <f t="shared" si="1"/>
        <v>0.11461212124845381</v>
      </c>
      <c r="M10">
        <f t="shared" si="2"/>
        <v>0.48574706315390581</v>
      </c>
      <c r="N10">
        <f t="shared" si="3"/>
        <v>0.97767432727083337</v>
      </c>
      <c r="O10">
        <f t="shared" si="4"/>
        <v>0.97931961414959767</v>
      </c>
      <c r="P10">
        <f t="shared" si="5"/>
        <v>0.99831996944103585</v>
      </c>
      <c r="Q10">
        <f t="shared" si="6"/>
        <v>0.11703239636222178</v>
      </c>
      <c r="R10">
        <f t="shared" si="7"/>
        <v>0.4891424628613229</v>
      </c>
      <c r="S10">
        <f t="shared" si="8"/>
        <v>71.204644412191584</v>
      </c>
      <c r="T10">
        <f t="shared" si="9"/>
        <v>0.24115921612286634</v>
      </c>
      <c r="U10">
        <f t="shared" si="10"/>
        <v>241.15921612286633</v>
      </c>
    </row>
    <row r="11" spans="1:22">
      <c r="E11" s="1">
        <v>8.1950000000000003</v>
      </c>
      <c r="F11" s="1">
        <v>9.5350000000000001</v>
      </c>
      <c r="G11" s="1">
        <f t="shared" si="0"/>
        <v>11.204644412191582</v>
      </c>
      <c r="I11" s="1">
        <v>65</v>
      </c>
      <c r="J11" s="1">
        <v>6.4798999999999998</v>
      </c>
      <c r="K11">
        <v>46.880800000000001</v>
      </c>
      <c r="L11">
        <f t="shared" si="1"/>
        <v>0.13822076415078241</v>
      </c>
      <c r="M11">
        <f t="shared" si="2"/>
        <v>0.51704034163588919</v>
      </c>
      <c r="N11">
        <f t="shared" si="3"/>
        <v>0.9781654669933727</v>
      </c>
      <c r="O11">
        <f t="shared" si="4"/>
        <v>0.98045230759057367</v>
      </c>
      <c r="P11">
        <f t="shared" si="5"/>
        <v>0.99766756569442849</v>
      </c>
      <c r="Q11">
        <f t="shared" si="6"/>
        <v>0.14097652999609434</v>
      </c>
      <c r="R11">
        <f t="shared" si="7"/>
        <v>0.52045390593545682</v>
      </c>
      <c r="S11">
        <f t="shared" si="8"/>
        <v>76.204644412191584</v>
      </c>
      <c r="T11">
        <f t="shared" si="9"/>
        <v>0.23834066122898098</v>
      </c>
      <c r="U11">
        <f t="shared" si="10"/>
        <v>238.34066122898099</v>
      </c>
    </row>
    <row r="12" spans="1:22">
      <c r="E12" s="1">
        <v>8.1950000000000003</v>
      </c>
      <c r="F12" s="1">
        <v>9.5350000000000001</v>
      </c>
      <c r="G12" s="1">
        <f t="shared" si="0"/>
        <v>11.204644412191582</v>
      </c>
      <c r="I12" s="1">
        <v>70</v>
      </c>
      <c r="J12" s="1">
        <v>7.4104000000000001</v>
      </c>
      <c r="K12">
        <v>43.982500000000002</v>
      </c>
      <c r="L12">
        <f t="shared" si="1"/>
        <v>0.16848519297447848</v>
      </c>
      <c r="M12">
        <f t="shared" si="2"/>
        <v>0.55231551941570067</v>
      </c>
      <c r="N12">
        <f t="shared" si="3"/>
        <v>0.97804764276571432</v>
      </c>
      <c r="O12">
        <f t="shared" si="4"/>
        <v>0.98090684140724427</v>
      </c>
      <c r="P12">
        <f t="shared" si="5"/>
        <v>0.99708514761969846</v>
      </c>
      <c r="Q12">
        <f t="shared" si="6"/>
        <v>0.17176472409221202</v>
      </c>
      <c r="R12">
        <f t="shared" si="7"/>
        <v>0.55587608742117478</v>
      </c>
      <c r="S12">
        <f t="shared" si="8"/>
        <v>81.204644412191584</v>
      </c>
      <c r="T12">
        <f t="shared" si="9"/>
        <v>0.23982991307388898</v>
      </c>
      <c r="U12">
        <f t="shared" si="10"/>
        <v>239.82991307388897</v>
      </c>
    </row>
    <row r="13" spans="1:22">
      <c r="E13" s="1">
        <v>8.1950000000000003</v>
      </c>
      <c r="F13" s="1">
        <v>9.5350000000000001</v>
      </c>
      <c r="G13" s="1">
        <f t="shared" si="0"/>
        <v>11.204644412191582</v>
      </c>
      <c r="I13" s="1">
        <v>75</v>
      </c>
      <c r="J13" s="1">
        <v>8.3162000000000003</v>
      </c>
      <c r="K13">
        <v>41.644100000000002</v>
      </c>
      <c r="L13">
        <f t="shared" si="1"/>
        <v>0.1996969558712999</v>
      </c>
      <c r="M13">
        <f t="shared" si="2"/>
        <v>0.5845080295313031</v>
      </c>
      <c r="N13">
        <f t="shared" si="3"/>
        <v>0.97813784120320002</v>
      </c>
      <c r="O13">
        <f t="shared" si="4"/>
        <v>0.9813736483832598</v>
      </c>
      <c r="P13">
        <f t="shared" si="5"/>
        <v>0.99670277759608628</v>
      </c>
      <c r="Q13">
        <f t="shared" si="6"/>
        <v>0.20348717962856025</v>
      </c>
      <c r="R13">
        <f t="shared" si="7"/>
        <v>0.58818284111017616</v>
      </c>
      <c r="S13">
        <f t="shared" si="8"/>
        <v>86.204644412191584</v>
      </c>
      <c r="T13">
        <f t="shared" si="9"/>
        <v>0.23996274385706987</v>
      </c>
      <c r="U13">
        <f t="shared" si="10"/>
        <v>239.96274385706985</v>
      </c>
    </row>
    <row r="14" spans="1:22">
      <c r="E14" s="1">
        <v>8.1950000000000003</v>
      </c>
      <c r="F14" s="1">
        <v>9.5350000000000001</v>
      </c>
      <c r="G14" s="1">
        <f t="shared" si="0"/>
        <v>11.204644412191582</v>
      </c>
      <c r="I14" s="1">
        <v>80</v>
      </c>
      <c r="J14" s="1">
        <v>9.4178999999999995</v>
      </c>
      <c r="K14">
        <v>38.383400000000002</v>
      </c>
      <c r="L14">
        <f t="shared" si="1"/>
        <v>0.24536388126117017</v>
      </c>
      <c r="M14">
        <f t="shared" si="2"/>
        <v>0.62604210679860839</v>
      </c>
      <c r="N14">
        <f t="shared" si="3"/>
        <v>0.97775334564484373</v>
      </c>
      <c r="O14">
        <f t="shared" si="4"/>
        <v>0.98136913260448821</v>
      </c>
      <c r="P14">
        <f t="shared" si="5"/>
        <v>0.99631556889297257</v>
      </c>
      <c r="Q14">
        <f t="shared" si="6"/>
        <v>0.250022008140801</v>
      </c>
      <c r="R14">
        <f t="shared" si="7"/>
        <v>0.62997901008492529</v>
      </c>
      <c r="S14">
        <f t="shared" si="8"/>
        <v>91.204644412191584</v>
      </c>
      <c r="T14">
        <f t="shared" si="9"/>
        <v>0.23665075180470507</v>
      </c>
      <c r="U14">
        <f t="shared" si="10"/>
        <v>236.65075180470507</v>
      </c>
    </row>
    <row r="15" spans="1:22">
      <c r="E15" s="1">
        <v>8.1950000000000003</v>
      </c>
      <c r="F15" s="1">
        <v>9.5350000000000001</v>
      </c>
      <c r="G15" s="1">
        <f t="shared" si="0"/>
        <v>11.204644412191582</v>
      </c>
      <c r="I15" s="1">
        <v>85</v>
      </c>
      <c r="J15" s="1">
        <v>10.402799999999999</v>
      </c>
      <c r="K15">
        <v>35.452199999999998</v>
      </c>
      <c r="L15">
        <f t="shared" si="1"/>
        <v>0.29343171932912482</v>
      </c>
      <c r="M15">
        <f t="shared" si="2"/>
        <v>0.66451127286766587</v>
      </c>
      <c r="N15">
        <f t="shared" si="3"/>
        <v>0.97780735040110733</v>
      </c>
      <c r="O15">
        <f t="shared" si="4"/>
        <v>0.98162952672140125</v>
      </c>
      <c r="P15">
        <f t="shared" si="5"/>
        <v>0.99610629446624344</v>
      </c>
      <c r="Q15">
        <f t="shared" si="6"/>
        <v>0.29892307774112464</v>
      </c>
      <c r="R15">
        <f t="shared" si="7"/>
        <v>0.66863095939705397</v>
      </c>
      <c r="S15">
        <f t="shared" si="8"/>
        <v>96.204644412191584</v>
      </c>
      <c r="T15">
        <f t="shared" si="9"/>
        <v>0.22884081976542459</v>
      </c>
      <c r="U15">
        <f t="shared" si="10"/>
        <v>228.84081976542458</v>
      </c>
    </row>
    <row r="16" spans="1:22">
      <c r="E16" s="1">
        <v>8.1950000000000003</v>
      </c>
      <c r="F16" s="1">
        <v>9.5350000000000001</v>
      </c>
      <c r="G16" s="1">
        <f t="shared" si="0"/>
        <v>11.204644412191582</v>
      </c>
      <c r="I16" s="1">
        <v>90</v>
      </c>
      <c r="J16" s="1">
        <v>11.367800000000001</v>
      </c>
      <c r="K16">
        <v>33.838299999999997</v>
      </c>
      <c r="L16">
        <f t="shared" si="1"/>
        <v>0.33594477263928751</v>
      </c>
      <c r="M16">
        <f t="shared" si="2"/>
        <v>0.6951672372518386</v>
      </c>
      <c r="N16">
        <f t="shared" si="3"/>
        <v>0.97796213030222223</v>
      </c>
      <c r="O16">
        <f t="shared" si="4"/>
        <v>0.98191487597903948</v>
      </c>
      <c r="P16">
        <f t="shared" si="5"/>
        <v>0.99597445178445221</v>
      </c>
      <c r="Q16">
        <f t="shared" si="6"/>
        <v>0.34213227730593909</v>
      </c>
      <c r="R16">
        <f t="shared" si="7"/>
        <v>0.69940921398169331</v>
      </c>
      <c r="S16">
        <f t="shared" si="8"/>
        <v>101.20464441219158</v>
      </c>
      <c r="T16">
        <f t="shared" si="9"/>
        <v>0.22686271490302487</v>
      </c>
      <c r="U16">
        <f t="shared" si="10"/>
        <v>226.86271490302488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5C18-D925-4FFC-BF03-CB4AB80A7955}">
  <dimension ref="A1:V17"/>
  <sheetViews>
    <sheetView workbookViewId="0">
      <selection activeCell="I3" sqref="I3:I17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7" width="12.33203125" bestFit="1" customWidth="1"/>
    <col min="18" max="18" width="11.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53</v>
      </c>
      <c r="B2" s="2">
        <v>3.92</v>
      </c>
      <c r="C2" s="2">
        <v>25.046669999999999</v>
      </c>
      <c r="D2" s="2">
        <v>46</v>
      </c>
      <c r="E2" s="2">
        <v>8.15</v>
      </c>
      <c r="F2" s="2">
        <v>9.5399999999999991</v>
      </c>
      <c r="G2" s="2">
        <f>0.05874/0.0068</f>
        <v>8.6382352941176475</v>
      </c>
      <c r="H2" s="2" t="s">
        <v>9</v>
      </c>
      <c r="I2" s="2">
        <v>46</v>
      </c>
      <c r="J2" s="2">
        <v>3.3610000000000002</v>
      </c>
      <c r="K2" s="2">
        <v>66.979399999999998</v>
      </c>
      <c r="L2" s="3">
        <f>J2:J25/K2:K25</f>
        <v>5.0179607461398587E-2</v>
      </c>
      <c r="M2" s="3">
        <f>(L2:L25)^(1/3)</f>
        <v>0.36884374242312523</v>
      </c>
      <c r="N2" s="3">
        <f>1-((3/10)*(J2:J25/I2:I25)^2)-((3/2)*((J2:J25*E2)/(I2:I25)^2))</f>
        <v>0.97898056649338383</v>
      </c>
      <c r="O2" s="3">
        <f>1-(F2/I2:I25)^3-((9/8)*(1-(F2/I2:I25)^2)*((J2:J25*E2)/I2:I25^2))-((9/35)*(J2:J25/I2:I25)^2)</f>
        <v>0.97577007916385838</v>
      </c>
      <c r="P2" s="3">
        <f>N2:N25/O2:O25</f>
        <v>1.0032902088289861</v>
      </c>
      <c r="Q2" s="3">
        <f>L2:L25/O2:O25</f>
        <v>5.142564681261564E-2</v>
      </c>
      <c r="R2" s="3">
        <f>Q2:Q25^(1/3)</f>
        <v>0.37187180713337664</v>
      </c>
      <c r="S2" s="3">
        <f>I2:I25+G2</f>
        <v>54.638235294117649</v>
      </c>
      <c r="T2" s="3">
        <f>(P2:P25*3*K2:K25*J2:J25)/(2*25.04667*S2:S25)</f>
        <v>0.24756026587506297</v>
      </c>
      <c r="U2" s="3">
        <f>T2:T25*1000</f>
        <v>247.56026587506298</v>
      </c>
      <c r="V2">
        <f>AVERAGE(U3:U17)</f>
        <v>249.58394317802842</v>
      </c>
    </row>
    <row r="3" spans="1:22">
      <c r="E3" s="1">
        <v>8.15</v>
      </c>
      <c r="F3" s="1">
        <v>9.5399999999999991</v>
      </c>
      <c r="G3" s="1">
        <f t="shared" ref="G3:G17" si="0">0.05874/0.0068</f>
        <v>8.6382352941176475</v>
      </c>
      <c r="I3" s="1">
        <v>47</v>
      </c>
      <c r="J3" s="1">
        <v>3.6373000000000002</v>
      </c>
      <c r="K3" s="1">
        <v>65.818799999999996</v>
      </c>
      <c r="L3">
        <f t="shared" ref="L3:L17" si="1">J3:J26/K3:K26</f>
        <v>5.5262326265443924E-2</v>
      </c>
      <c r="M3">
        <f t="shared" ref="M3:M17" si="2">(L3:L26)^(1/3)</f>
        <v>0.38089890210207977</v>
      </c>
      <c r="N3">
        <f t="shared" ref="N3:N17" si="3">1-((3/10)*(J3:J26/I3:I26)^2)-((3/2)*((J3:J26*E3)/(I3:I26)^2))</f>
        <v>0.97807379905522862</v>
      </c>
      <c r="O3">
        <f t="shared" ref="O3:O17" si="4">1-(F3/I3:I26)^3-((9/8)*(1-(F3/I3:I26)^2)*((J3:J26*E3)/I3:I26^2))-((9/35)*(J3:J26/I3:I26)^2)</f>
        <v>0.97562205116042566</v>
      </c>
      <c r="P3">
        <f t="shared" ref="P3:P17" si="5">N3:N26/O3:O26</f>
        <v>1.0025130099221178</v>
      </c>
      <c r="Q3">
        <f t="shared" ref="Q3:Q17" si="6">L3:L26/O3:O26</f>
        <v>5.6643170579953307E-2</v>
      </c>
      <c r="R3">
        <f t="shared" ref="R3:R17" si="7">Q3:Q26^(1/3)</f>
        <v>0.38404535637741538</v>
      </c>
      <c r="S3">
        <f t="shared" ref="S3:S17" si="8">I3:I26+G3</f>
        <v>55.638235294117649</v>
      </c>
      <c r="T3">
        <f t="shared" ref="T3:T17" si="9">(P3:P26*3*K3:K26*J3:J26)/(2*25.04667*S3:S26)</f>
        <v>0.25833724177995926</v>
      </c>
      <c r="U3">
        <f t="shared" ref="U3:U17" si="10">T3:T26*1000</f>
        <v>258.33724177995924</v>
      </c>
    </row>
    <row r="4" spans="1:22">
      <c r="E4" s="1">
        <v>8.15</v>
      </c>
      <c r="F4" s="1">
        <v>9.5399999999999991</v>
      </c>
      <c r="G4" s="1">
        <f t="shared" si="0"/>
        <v>8.6382352941176475</v>
      </c>
      <c r="I4" s="1">
        <v>48</v>
      </c>
      <c r="J4" s="1">
        <v>3.7065000000000001</v>
      </c>
      <c r="K4" s="1">
        <v>65.555400000000006</v>
      </c>
      <c r="L4">
        <f t="shared" si="1"/>
        <v>5.6539964671102609E-2</v>
      </c>
      <c r="M4">
        <f t="shared" si="2"/>
        <v>0.38381196638749232</v>
      </c>
      <c r="N4">
        <f t="shared" si="3"/>
        <v>0.97854452900390632</v>
      </c>
      <c r="O4">
        <f t="shared" si="4"/>
        <v>0.97644844942014697</v>
      </c>
      <c r="P4">
        <f t="shared" si="5"/>
        <v>1.0021466361946747</v>
      </c>
      <c r="Q4">
        <f t="shared" si="6"/>
        <v>5.7903686266979316E-2</v>
      </c>
      <c r="R4">
        <f t="shared" si="7"/>
        <v>0.38687328180120584</v>
      </c>
      <c r="S4">
        <f t="shared" si="8"/>
        <v>56.638235294117649</v>
      </c>
      <c r="T4">
        <f t="shared" si="9"/>
        <v>0.25747513888290746</v>
      </c>
      <c r="U4">
        <f t="shared" si="10"/>
        <v>257.47513888290746</v>
      </c>
    </row>
    <row r="5" spans="1:22">
      <c r="E5" s="1">
        <v>8.15</v>
      </c>
      <c r="F5" s="1">
        <v>9.5399999999999991</v>
      </c>
      <c r="G5" s="1">
        <f t="shared" si="0"/>
        <v>8.6382352941176475</v>
      </c>
      <c r="I5" s="1">
        <v>49</v>
      </c>
      <c r="J5" s="1">
        <v>3.8102999999999998</v>
      </c>
      <c r="K5" s="1">
        <v>64.6661</v>
      </c>
      <c r="L5">
        <f t="shared" si="1"/>
        <v>5.8922681281227719E-2</v>
      </c>
      <c r="M5">
        <f t="shared" si="2"/>
        <v>0.38912950990538803</v>
      </c>
      <c r="N5">
        <f t="shared" si="3"/>
        <v>0.97878532556143272</v>
      </c>
      <c r="O5">
        <f t="shared" si="4"/>
        <v>0.97706616960017634</v>
      </c>
      <c r="P5">
        <f t="shared" si="5"/>
        <v>1.0017595082244632</v>
      </c>
      <c r="Q5">
        <f t="shared" si="6"/>
        <v>6.0305722493021505E-2</v>
      </c>
      <c r="R5">
        <f t="shared" si="7"/>
        <v>0.39215056189912001</v>
      </c>
      <c r="S5">
        <f t="shared" si="8"/>
        <v>57.638235294117649</v>
      </c>
      <c r="T5">
        <f t="shared" si="9"/>
        <v>0.25646606191345017</v>
      </c>
      <c r="U5">
        <f t="shared" si="10"/>
        <v>256.46606191345018</v>
      </c>
    </row>
    <row r="6" spans="1:22">
      <c r="E6" s="1">
        <v>8.15</v>
      </c>
      <c r="F6" s="1">
        <v>9.5399999999999991</v>
      </c>
      <c r="G6" s="1">
        <f t="shared" si="0"/>
        <v>8.6382352941176475</v>
      </c>
      <c r="I6" s="1">
        <v>50</v>
      </c>
      <c r="J6" s="1">
        <v>3.9041000000000001</v>
      </c>
      <c r="K6" s="1">
        <v>63.3157</v>
      </c>
      <c r="L6">
        <f t="shared" si="1"/>
        <v>6.166085188981564E-2</v>
      </c>
      <c r="M6">
        <f t="shared" si="2"/>
        <v>0.39506616824507934</v>
      </c>
      <c r="N6">
        <f t="shared" si="3"/>
        <v>0.97907991138279993</v>
      </c>
      <c r="O6">
        <f t="shared" si="4"/>
        <v>0.97768921176923629</v>
      </c>
      <c r="P6">
        <f t="shared" si="5"/>
        <v>1.0014224352655452</v>
      </c>
      <c r="Q6">
        <f t="shared" si="6"/>
        <v>6.3067947510879796E-2</v>
      </c>
      <c r="R6">
        <f t="shared" si="7"/>
        <v>0.39804872073212533</v>
      </c>
      <c r="S6">
        <f t="shared" si="8"/>
        <v>58.638235294117649</v>
      </c>
      <c r="T6">
        <f t="shared" si="9"/>
        <v>0.25281919033027617</v>
      </c>
      <c r="U6">
        <f t="shared" si="10"/>
        <v>252.81919033027617</v>
      </c>
    </row>
    <row r="7" spans="1:22">
      <c r="E7" s="1">
        <v>8.15</v>
      </c>
      <c r="F7" s="1">
        <v>9.5399999999999991</v>
      </c>
      <c r="G7" s="1">
        <f t="shared" si="0"/>
        <v>8.6382352941176475</v>
      </c>
      <c r="I7" s="1">
        <v>51</v>
      </c>
      <c r="J7" s="1">
        <v>4.0457999999999998</v>
      </c>
      <c r="K7" s="1">
        <v>62.8217</v>
      </c>
      <c r="L7">
        <f t="shared" si="1"/>
        <v>6.4401313558849885E-2</v>
      </c>
      <c r="M7">
        <f t="shared" si="2"/>
        <v>0.40083432844443073</v>
      </c>
      <c r="N7">
        <f t="shared" si="3"/>
        <v>0.97909632668512114</v>
      </c>
      <c r="O7">
        <f t="shared" si="4"/>
        <v>0.97807362358955485</v>
      </c>
      <c r="P7">
        <f t="shared" si="5"/>
        <v>1.0010456299719166</v>
      </c>
      <c r="Q7">
        <f t="shared" si="6"/>
        <v>6.5845057064820384E-2</v>
      </c>
      <c r="R7">
        <f t="shared" si="7"/>
        <v>0.40380751103839507</v>
      </c>
      <c r="S7">
        <f t="shared" si="8"/>
        <v>59.638235294117649</v>
      </c>
      <c r="T7">
        <f t="shared" si="9"/>
        <v>0.25549620268081547</v>
      </c>
      <c r="U7">
        <f t="shared" si="10"/>
        <v>255.49620268081546</v>
      </c>
    </row>
    <row r="8" spans="1:22">
      <c r="E8" s="1">
        <v>8.15</v>
      </c>
      <c r="F8" s="1">
        <v>9.5399999999999991</v>
      </c>
      <c r="G8" s="1">
        <f t="shared" si="0"/>
        <v>8.6382352941176475</v>
      </c>
      <c r="I8" s="1">
        <v>52</v>
      </c>
      <c r="J8" s="1">
        <v>4.1658999999999997</v>
      </c>
      <c r="K8" s="1">
        <v>61.537199999999999</v>
      </c>
      <c r="L8">
        <f t="shared" si="1"/>
        <v>6.769726279388727E-2</v>
      </c>
      <c r="M8">
        <f t="shared" si="2"/>
        <v>0.40755888903941107</v>
      </c>
      <c r="N8">
        <f t="shared" si="3"/>
        <v>0.97924018330510354</v>
      </c>
      <c r="O8">
        <f t="shared" si="4"/>
        <v>0.97852431309086518</v>
      </c>
      <c r="P8">
        <f t="shared" si="5"/>
        <v>1.0007315814279332</v>
      </c>
      <c r="Q8">
        <f t="shared" si="6"/>
        <v>6.9183015575823445E-2</v>
      </c>
      <c r="R8">
        <f t="shared" si="7"/>
        <v>0.41051890589373286</v>
      </c>
      <c r="S8">
        <f t="shared" si="8"/>
        <v>60.638235294117649</v>
      </c>
      <c r="T8">
        <f t="shared" si="9"/>
        <v>0.25337215736487406</v>
      </c>
      <c r="U8">
        <f t="shared" si="10"/>
        <v>253.37215736487406</v>
      </c>
    </row>
    <row r="9" spans="1:22">
      <c r="E9" s="1">
        <v>8.15</v>
      </c>
      <c r="F9" s="1">
        <v>9.5399999999999991</v>
      </c>
      <c r="G9" s="1">
        <f t="shared" si="0"/>
        <v>8.6382352941176475</v>
      </c>
      <c r="I9" s="1">
        <v>53</v>
      </c>
      <c r="J9" s="1">
        <v>4.3570000000000002</v>
      </c>
      <c r="K9" s="1">
        <v>61.109000000000002</v>
      </c>
      <c r="L9">
        <f t="shared" si="1"/>
        <v>7.1298826686740091E-2</v>
      </c>
      <c r="M9">
        <f t="shared" si="2"/>
        <v>0.41466189462022968</v>
      </c>
      <c r="N9">
        <f t="shared" si="3"/>
        <v>0.97901055190459241</v>
      </c>
      <c r="O9">
        <f t="shared" si="4"/>
        <v>0.97866946708195601</v>
      </c>
      <c r="P9">
        <f t="shared" si="5"/>
        <v>1.000348518916865</v>
      </c>
      <c r="Q9">
        <f t="shared" si="6"/>
        <v>7.2852816078269836E-2</v>
      </c>
      <c r="R9">
        <f t="shared" si="7"/>
        <v>0.41765284867466584</v>
      </c>
      <c r="S9">
        <f t="shared" si="8"/>
        <v>61.638235294117649</v>
      </c>
      <c r="T9">
        <f t="shared" si="9"/>
        <v>0.25878264008773871</v>
      </c>
      <c r="U9">
        <f t="shared" si="10"/>
        <v>258.78264008773874</v>
      </c>
    </row>
    <row r="10" spans="1:22">
      <c r="E10" s="1">
        <v>8.15</v>
      </c>
      <c r="F10" s="1">
        <v>9.5399999999999991</v>
      </c>
      <c r="G10" s="1">
        <f t="shared" si="0"/>
        <v>8.6382352941176475</v>
      </c>
      <c r="I10" s="1">
        <v>55</v>
      </c>
      <c r="J10" s="1">
        <v>4.7061999999999999</v>
      </c>
      <c r="K10" s="1">
        <v>58.243600000000001</v>
      </c>
      <c r="L10">
        <f t="shared" si="1"/>
        <v>8.0802010864713031E-2</v>
      </c>
      <c r="M10">
        <f t="shared" si="2"/>
        <v>0.43232205292044251</v>
      </c>
      <c r="N10">
        <f t="shared" si="3"/>
        <v>0.97878420147702483</v>
      </c>
      <c r="O10">
        <f t="shared" si="4"/>
        <v>0.97906333946275126</v>
      </c>
      <c r="P10">
        <f t="shared" si="5"/>
        <v>0.9997148928220726</v>
      </c>
      <c r="Q10">
        <f t="shared" si="6"/>
        <v>8.2529911608223552E-2</v>
      </c>
      <c r="R10">
        <f t="shared" si="7"/>
        <v>0.43538198992682087</v>
      </c>
      <c r="S10">
        <f t="shared" si="8"/>
        <v>63.638235294117649</v>
      </c>
      <c r="T10">
        <f t="shared" si="9"/>
        <v>0.25788013517657232</v>
      </c>
      <c r="U10">
        <f t="shared" si="10"/>
        <v>257.88013517657231</v>
      </c>
    </row>
    <row r="11" spans="1:22">
      <c r="E11" s="1">
        <v>8.15</v>
      </c>
      <c r="F11" s="1">
        <v>9.5399999999999991</v>
      </c>
      <c r="G11" s="1">
        <f t="shared" si="0"/>
        <v>8.6382352941176475</v>
      </c>
      <c r="I11" s="1">
        <v>60</v>
      </c>
      <c r="J11" s="1">
        <v>5.4109999999999996</v>
      </c>
      <c r="K11" s="1">
        <v>55.476999999999997</v>
      </c>
      <c r="L11">
        <f t="shared" si="1"/>
        <v>9.753591578491988E-2</v>
      </c>
      <c r="M11">
        <f t="shared" si="2"/>
        <v>0.46031471183627076</v>
      </c>
      <c r="N11">
        <f t="shared" si="3"/>
        <v>0.97918523575000005</v>
      </c>
      <c r="O11">
        <f t="shared" si="4"/>
        <v>0.98045622989114067</v>
      </c>
      <c r="P11">
        <f t="shared" si="5"/>
        <v>0.99870367069697574</v>
      </c>
      <c r="Q11">
        <f t="shared" si="6"/>
        <v>9.948013262738839E-2</v>
      </c>
      <c r="R11">
        <f t="shared" si="7"/>
        <v>0.46335314862948629</v>
      </c>
      <c r="S11">
        <f t="shared" si="8"/>
        <v>68.638235294117649</v>
      </c>
      <c r="T11">
        <f t="shared" si="9"/>
        <v>0.2615786560165258</v>
      </c>
      <c r="U11">
        <f t="shared" si="10"/>
        <v>261.57865601652583</v>
      </c>
    </row>
    <row r="12" spans="1:22">
      <c r="E12" s="1">
        <v>8.15</v>
      </c>
      <c r="F12" s="1">
        <v>9.5399999999999991</v>
      </c>
      <c r="G12" s="1">
        <f t="shared" si="0"/>
        <v>8.6382352941176475</v>
      </c>
      <c r="I12" s="1">
        <v>65</v>
      </c>
      <c r="J12" s="1">
        <v>6.2393999999999998</v>
      </c>
      <c r="K12" s="1">
        <v>51.590600000000002</v>
      </c>
      <c r="L12">
        <f t="shared" si="1"/>
        <v>0.12094063647253568</v>
      </c>
      <c r="M12">
        <f t="shared" si="2"/>
        <v>0.49452784481307416</v>
      </c>
      <c r="N12">
        <f t="shared" si="3"/>
        <v>0.97918208314603561</v>
      </c>
      <c r="O12">
        <f t="shared" si="4"/>
        <v>0.98122047739267715</v>
      </c>
      <c r="P12">
        <f t="shared" si="5"/>
        <v>0.99792259304243425</v>
      </c>
      <c r="Q12">
        <f t="shared" si="6"/>
        <v>0.12325531239819014</v>
      </c>
      <c r="R12">
        <f t="shared" si="7"/>
        <v>0.49766284227347113</v>
      </c>
      <c r="S12">
        <f t="shared" si="8"/>
        <v>73.638235294117649</v>
      </c>
      <c r="T12">
        <f t="shared" si="9"/>
        <v>0.26124510125066303</v>
      </c>
      <c r="U12">
        <f t="shared" si="10"/>
        <v>261.24510125066303</v>
      </c>
    </row>
    <row r="13" spans="1:22">
      <c r="E13" s="1">
        <v>8.15</v>
      </c>
      <c r="F13" s="1">
        <v>9.5399999999999991</v>
      </c>
      <c r="G13" s="1">
        <f t="shared" si="0"/>
        <v>8.6382352941176475</v>
      </c>
      <c r="I13" s="1">
        <v>70</v>
      </c>
      <c r="J13" s="1">
        <v>6.8240999999999996</v>
      </c>
      <c r="K13" s="1">
        <v>46.913800000000002</v>
      </c>
      <c r="L13">
        <f t="shared" si="1"/>
        <v>0.1454603975802429</v>
      </c>
      <c r="M13">
        <f t="shared" si="2"/>
        <v>0.52591423177628804</v>
      </c>
      <c r="N13">
        <f t="shared" si="3"/>
        <v>0.98012344392999995</v>
      </c>
      <c r="O13">
        <f t="shared" si="4"/>
        <v>0.98249293264022242</v>
      </c>
      <c r="P13">
        <f t="shared" si="5"/>
        <v>0.99758828930824472</v>
      </c>
      <c r="Q13">
        <f t="shared" si="6"/>
        <v>0.14805236022344886</v>
      </c>
      <c r="R13">
        <f t="shared" si="7"/>
        <v>0.52901961901293482</v>
      </c>
      <c r="S13">
        <f t="shared" si="8"/>
        <v>78.638235294117649</v>
      </c>
      <c r="T13">
        <f t="shared" si="9"/>
        <v>0.24322311314632863</v>
      </c>
      <c r="U13">
        <f t="shared" si="10"/>
        <v>243.22311314632864</v>
      </c>
    </row>
    <row r="14" spans="1:22">
      <c r="E14" s="1">
        <v>8.15</v>
      </c>
      <c r="F14" s="1">
        <v>9.5399999999999991</v>
      </c>
      <c r="G14" s="1">
        <f t="shared" si="0"/>
        <v>8.6382352941176475</v>
      </c>
      <c r="I14" s="1">
        <v>75</v>
      </c>
      <c r="J14" s="1">
        <v>7.7858999999999998</v>
      </c>
      <c r="K14" s="1">
        <v>43.0274</v>
      </c>
      <c r="L14">
        <f t="shared" si="1"/>
        <v>0.18095213747519023</v>
      </c>
      <c r="M14">
        <f t="shared" si="2"/>
        <v>0.56561541783935476</v>
      </c>
      <c r="N14">
        <f t="shared" si="3"/>
        <v>0.97984556459680006</v>
      </c>
      <c r="O14">
        <f t="shared" si="4"/>
        <v>0.98268503505946869</v>
      </c>
      <c r="P14">
        <f t="shared" si="5"/>
        <v>0.99711049790994655</v>
      </c>
      <c r="Q14">
        <f t="shared" si="6"/>
        <v>0.18414052419577107</v>
      </c>
      <c r="R14">
        <f t="shared" si="7"/>
        <v>0.56891815337172313</v>
      </c>
      <c r="S14">
        <f t="shared" si="8"/>
        <v>83.638235294117649</v>
      </c>
      <c r="T14">
        <f t="shared" si="9"/>
        <v>0.23918482271158287</v>
      </c>
      <c r="U14">
        <f t="shared" si="10"/>
        <v>239.18482271158285</v>
      </c>
    </row>
    <row r="15" spans="1:22">
      <c r="E15" s="1">
        <v>8.15</v>
      </c>
      <c r="F15" s="1">
        <v>9.5399999999999991</v>
      </c>
      <c r="G15" s="1">
        <f t="shared" si="0"/>
        <v>8.6382352941176475</v>
      </c>
      <c r="I15" s="1">
        <v>80</v>
      </c>
      <c r="J15" s="1">
        <v>8.5977999999999994</v>
      </c>
      <c r="K15" s="1">
        <v>39.865499999999997</v>
      </c>
      <c r="L15">
        <f t="shared" si="1"/>
        <v>0.21567019101729565</v>
      </c>
      <c r="M15">
        <f t="shared" si="2"/>
        <v>0.599694465753427</v>
      </c>
      <c r="N15">
        <f t="shared" si="3"/>
        <v>0.98011175711687504</v>
      </c>
      <c r="O15">
        <f t="shared" si="4"/>
        <v>0.98319191461861932</v>
      </c>
      <c r="P15">
        <f t="shared" si="5"/>
        <v>0.99686718589123158</v>
      </c>
      <c r="Q15">
        <f t="shared" si="6"/>
        <v>0.21935716497521671</v>
      </c>
      <c r="R15">
        <f t="shared" si="7"/>
        <v>0.60309251924432339</v>
      </c>
      <c r="S15">
        <f t="shared" si="8"/>
        <v>88.638235294117649</v>
      </c>
      <c r="T15">
        <f t="shared" si="9"/>
        <v>0.2308564529482463</v>
      </c>
      <c r="U15">
        <f t="shared" si="10"/>
        <v>230.8564529482463</v>
      </c>
    </row>
    <row r="16" spans="1:22">
      <c r="E16" s="1">
        <v>8.15</v>
      </c>
      <c r="F16" s="1">
        <v>9.5399999999999991</v>
      </c>
      <c r="G16" s="1">
        <f t="shared" si="0"/>
        <v>8.6382352941176475</v>
      </c>
      <c r="I16" s="1">
        <v>85</v>
      </c>
      <c r="J16" s="1">
        <v>9.548</v>
      </c>
      <c r="K16" s="1">
        <v>37.4283</v>
      </c>
      <c r="L16">
        <f t="shared" si="1"/>
        <v>0.25510108661093345</v>
      </c>
      <c r="M16">
        <f t="shared" si="2"/>
        <v>0.63421635334093718</v>
      </c>
      <c r="N16">
        <f t="shared" si="3"/>
        <v>0.9800590185190311</v>
      </c>
      <c r="O16">
        <f t="shared" si="4"/>
        <v>0.98337751872801149</v>
      </c>
      <c r="P16">
        <f t="shared" si="5"/>
        <v>0.99662540565979907</v>
      </c>
      <c r="Q16">
        <f t="shared" si="6"/>
        <v>0.25941317729217972</v>
      </c>
      <c r="R16">
        <f t="shared" si="7"/>
        <v>0.63776988888663311</v>
      </c>
      <c r="S16">
        <f t="shared" si="8"/>
        <v>93.638235294117649</v>
      </c>
      <c r="T16">
        <f t="shared" si="9"/>
        <v>0.22778887562053585</v>
      </c>
      <c r="U16">
        <f t="shared" si="10"/>
        <v>227.78887562053583</v>
      </c>
    </row>
    <row r="17" spans="5:21">
      <c r="E17" s="1">
        <v>8.15</v>
      </c>
      <c r="F17" s="1">
        <v>9.5399999999999991</v>
      </c>
      <c r="G17" s="1">
        <f t="shared" si="0"/>
        <v>8.6382352941176475</v>
      </c>
      <c r="I17" s="1">
        <v>90</v>
      </c>
      <c r="J17" s="1">
        <v>10.669700000000001</v>
      </c>
      <c r="K17" s="1">
        <v>35.518000000000001</v>
      </c>
      <c r="L17">
        <f t="shared" si="1"/>
        <v>0.30040261275972746</v>
      </c>
      <c r="M17">
        <f t="shared" si="2"/>
        <v>0.66973228537905038</v>
      </c>
      <c r="N17">
        <f t="shared" si="3"/>
        <v>0.97968026766333338</v>
      </c>
      <c r="O17">
        <f t="shared" si="4"/>
        <v>0.98325313167852901</v>
      </c>
      <c r="P17">
        <f t="shared" si="5"/>
        <v>0.9963662825979549</v>
      </c>
      <c r="Q17">
        <f t="shared" si="6"/>
        <v>0.30551910091240164</v>
      </c>
      <c r="R17">
        <f t="shared" si="7"/>
        <v>0.67351321656029672</v>
      </c>
      <c r="S17">
        <f t="shared" si="8"/>
        <v>98.638235294117649</v>
      </c>
      <c r="T17">
        <f t="shared" si="9"/>
        <v>0.22925335775995084</v>
      </c>
      <c r="U17">
        <f t="shared" si="10"/>
        <v>229.25335775995083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59D9-64A9-4079-96DD-145BAE8881DB}">
  <dimension ref="A1:V18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55</v>
      </c>
      <c r="B2" s="2">
        <v>3.8766699999999998</v>
      </c>
      <c r="C2" s="2">
        <v>25.06</v>
      </c>
      <c r="D2" s="2">
        <v>45</v>
      </c>
      <c r="E2" s="2">
        <v>8.170833</v>
      </c>
      <c r="F2" s="2">
        <v>9.5325000000000006</v>
      </c>
      <c r="G2" s="2">
        <f>0.04044/0.00709</f>
        <v>5.7038081805359662</v>
      </c>
      <c r="H2" s="2" t="s">
        <v>9</v>
      </c>
      <c r="I2" s="2">
        <v>45</v>
      </c>
      <c r="J2" s="2">
        <v>3.1875</v>
      </c>
      <c r="K2" s="2">
        <v>66.543999999999997</v>
      </c>
      <c r="L2" s="3">
        <f>J2:J25/K2:K25</f>
        <v>4.790063717239721E-2</v>
      </c>
      <c r="M2" s="3">
        <f>(L2:L25)^(1/3)</f>
        <v>0.36317317555303053</v>
      </c>
      <c r="N2" s="3">
        <f>1-((3/10)*(J2:J25/I2:I25)^2)-((3/2)*((J2:J25*E2)/(I2:I25)^2))</f>
        <v>0.97920254708333332</v>
      </c>
      <c r="O2" s="3">
        <f>1-(F2/I2:I25)^3-((9/8)*(1-(F2/I2:I25)^2)*((J2:J25*E2)/I2:I25^2))-((9/35)*(J2:J25/I2:I25)^2)</f>
        <v>0.9753842452224083</v>
      </c>
      <c r="P2" s="3">
        <f>N2:N25/O2:O25</f>
        <v>1.0039146642767993</v>
      </c>
      <c r="Q2" s="3">
        <f>L2:L25/O2:O25</f>
        <v>4.9109504697274306E-2</v>
      </c>
      <c r="R2" s="3">
        <f>Q2:Q25^(1/3)</f>
        <v>0.36620296082020948</v>
      </c>
      <c r="S2" s="3">
        <f>I2:I25+G2</f>
        <v>50.703808180535965</v>
      </c>
      <c r="T2" s="3">
        <f>(P2:P25*3*K2:K25*J2:J25)/(2*25.06*S2:S25)</f>
        <v>0.25137698212812515</v>
      </c>
      <c r="U2" s="3">
        <f>T2:T25*1000</f>
        <v>251.37698212812515</v>
      </c>
      <c r="V2">
        <f>AVERAGE(U3:U18)</f>
        <v>253.46324524603813</v>
      </c>
    </row>
    <row r="3" spans="1:22">
      <c r="E3" s="1">
        <v>8.170833</v>
      </c>
      <c r="F3" s="1">
        <v>9.5325000000000006</v>
      </c>
      <c r="G3" s="1">
        <f t="shared" ref="G3:G18" si="0">0.04044/0.00709</f>
        <v>5.7038081805359662</v>
      </c>
      <c r="I3" s="1">
        <v>46</v>
      </c>
      <c r="J3" s="1">
        <v>3.2667999999999999</v>
      </c>
      <c r="K3" s="1">
        <v>65.917699999999996</v>
      </c>
      <c r="L3">
        <f t="shared" ref="L3:L18" si="1">J3:J26/K3:K26</f>
        <v>4.9558767978858484E-2</v>
      </c>
      <c r="M3">
        <f t="shared" ref="M3:M18" si="2">(L3:L26)^(1/3)</f>
        <v>0.36731627135318984</v>
      </c>
      <c r="N3">
        <f t="shared" ref="N3:N18" si="3">1-((3/10)*(J3:J26/I3:I26)^2)-((3/2)*((J3:J26*E3)/(I3:I26)^2))</f>
        <v>0.97956507063393194</v>
      </c>
      <c r="O3">
        <f t="shared" ref="O3:O18" si="4">1-(F3/I3:I26)^3-((9/8)*(1-(F3/I3:I26)^2)*((J3:J26*E3)/I3:I26^2))-((9/35)*(J3:J26/I3:I26)^2)</f>
        <v>0.97622200365159706</v>
      </c>
      <c r="P3">
        <f t="shared" ref="P3:P18" si="5">N3:N26/O3:O26</f>
        <v>1.0034244946024879</v>
      </c>
      <c r="Q3">
        <f t="shared" ref="Q3:Q18" si="6">L3:L26/O3:O26</f>
        <v>5.0765878861039754E-2</v>
      </c>
      <c r="R3">
        <f t="shared" ref="R3:R18" si="7">Q3:Q26^(1/3)</f>
        <v>0.37027464113834008</v>
      </c>
      <c r="S3">
        <f t="shared" ref="S3:S18" si="8">I3:I26+G3</f>
        <v>51.703808180535965</v>
      </c>
      <c r="T3">
        <f t="shared" ref="T3:T18" si="9">(P3:P26*3*K3:K26*J3:J26)/(2*25.06*S3:S26)</f>
        <v>0.25014795197515016</v>
      </c>
      <c r="U3">
        <f t="shared" ref="U3:U18" si="10">T3:T26*1000</f>
        <v>250.14795197515016</v>
      </c>
    </row>
    <row r="4" spans="1:22">
      <c r="E4" s="1">
        <v>8.170833</v>
      </c>
      <c r="F4" s="1">
        <v>9.5325000000000006</v>
      </c>
      <c r="G4" s="1">
        <f t="shared" si="0"/>
        <v>5.7038081805359662</v>
      </c>
      <c r="I4" s="1">
        <v>47</v>
      </c>
      <c r="J4" s="1">
        <v>3.4001999999999999</v>
      </c>
      <c r="K4" s="1">
        <v>65.489500000000007</v>
      </c>
      <c r="L4">
        <f t="shared" si="1"/>
        <v>5.1919773398789115E-2</v>
      </c>
      <c r="M4">
        <f t="shared" si="2"/>
        <v>0.37305906387813925</v>
      </c>
      <c r="N4">
        <f t="shared" si="3"/>
        <v>0.97956446013494791</v>
      </c>
      <c r="O4">
        <f t="shared" si="4"/>
        <v>0.97674405868782921</v>
      </c>
      <c r="P4">
        <f t="shared" si="5"/>
        <v>1.0028875542390374</v>
      </c>
      <c r="Q4">
        <f t="shared" si="6"/>
        <v>5.3155965410773852E-2</v>
      </c>
      <c r="R4">
        <f t="shared" si="7"/>
        <v>0.37599667411323112</v>
      </c>
      <c r="S4">
        <f t="shared" si="8"/>
        <v>52.703808180535965</v>
      </c>
      <c r="T4">
        <f t="shared" si="9"/>
        <v>0.25362763674508343</v>
      </c>
      <c r="U4">
        <f t="shared" si="10"/>
        <v>253.62763674508344</v>
      </c>
    </row>
    <row r="5" spans="1:22">
      <c r="E5" s="1">
        <v>8.170833</v>
      </c>
      <c r="F5" s="1">
        <v>9.5325000000000006</v>
      </c>
      <c r="G5" s="1">
        <f t="shared" si="0"/>
        <v>5.7038081805359662</v>
      </c>
      <c r="I5" s="1">
        <v>48</v>
      </c>
      <c r="J5" s="1">
        <v>3.5369000000000002</v>
      </c>
      <c r="K5" s="1">
        <v>65.884699999999995</v>
      </c>
      <c r="L5">
        <f t="shared" si="1"/>
        <v>5.3683176822539987E-2</v>
      </c>
      <c r="M5">
        <f t="shared" si="2"/>
        <v>0.37723565681024385</v>
      </c>
      <c r="N5">
        <f t="shared" si="3"/>
        <v>0.97955641174498698</v>
      </c>
      <c r="O5">
        <f t="shared" si="4"/>
        <v>0.97721688634198589</v>
      </c>
      <c r="P5">
        <f t="shared" si="5"/>
        <v>1.0023940697665987</v>
      </c>
      <c r="Q5">
        <f t="shared" si="6"/>
        <v>5.493476174310917E-2</v>
      </c>
      <c r="R5">
        <f t="shared" si="7"/>
        <v>0.38014482416820494</v>
      </c>
      <c r="S5">
        <f t="shared" si="8"/>
        <v>53.703808180535965</v>
      </c>
      <c r="T5">
        <f t="shared" si="9"/>
        <v>0.26034602542215823</v>
      </c>
      <c r="U5">
        <f t="shared" si="10"/>
        <v>260.34602542215822</v>
      </c>
    </row>
    <row r="6" spans="1:22">
      <c r="E6" s="1">
        <v>8.170833</v>
      </c>
      <c r="F6" s="1">
        <v>9.5325000000000006</v>
      </c>
      <c r="G6" s="1">
        <f t="shared" si="0"/>
        <v>5.7038081805359662</v>
      </c>
      <c r="I6" s="1">
        <v>49</v>
      </c>
      <c r="J6" s="1">
        <v>3.7130999999999998</v>
      </c>
      <c r="K6" s="1">
        <v>64.830799999999996</v>
      </c>
      <c r="L6">
        <f t="shared" si="1"/>
        <v>5.7273703239818112E-2</v>
      </c>
      <c r="M6">
        <f t="shared" si="2"/>
        <v>0.38546512232059632</v>
      </c>
      <c r="N6">
        <f t="shared" si="3"/>
        <v>0.97932327634258642</v>
      </c>
      <c r="O6">
        <f t="shared" si="4"/>
        <v>0.97748327161269732</v>
      </c>
      <c r="P6">
        <f t="shared" si="5"/>
        <v>1.0018823899941054</v>
      </c>
      <c r="Q6">
        <f t="shared" si="6"/>
        <v>5.859302650297564E-2</v>
      </c>
      <c r="R6">
        <f t="shared" si="7"/>
        <v>0.38840246460762795</v>
      </c>
      <c r="S6">
        <f t="shared" si="8"/>
        <v>54.703808180535965</v>
      </c>
      <c r="T6">
        <f t="shared" si="9"/>
        <v>0.26389271502158895</v>
      </c>
      <c r="U6">
        <f t="shared" si="10"/>
        <v>263.89271502158897</v>
      </c>
    </row>
    <row r="7" spans="1:22">
      <c r="E7" s="1">
        <v>8.170833</v>
      </c>
      <c r="F7" s="1">
        <v>9.5325000000000006</v>
      </c>
      <c r="G7" s="1">
        <f t="shared" si="0"/>
        <v>5.7038081805359662</v>
      </c>
      <c r="I7" s="1">
        <v>50</v>
      </c>
      <c r="J7" s="1">
        <v>3.83</v>
      </c>
      <c r="K7" s="1">
        <v>63.447499999999998</v>
      </c>
      <c r="L7">
        <f t="shared" si="1"/>
        <v>6.0364868592143114E-2</v>
      </c>
      <c r="M7">
        <f t="shared" si="2"/>
        <v>0.39227872329879376</v>
      </c>
      <c r="N7">
        <f t="shared" si="3"/>
        <v>0.97946315776600001</v>
      </c>
      <c r="O7">
        <f t="shared" si="4"/>
        <v>0.97799099213960716</v>
      </c>
      <c r="P7">
        <f t="shared" si="5"/>
        <v>1.0015052956910904</v>
      </c>
      <c r="Q7">
        <f t="shared" si="6"/>
        <v>6.1723338023880379E-2</v>
      </c>
      <c r="R7">
        <f t="shared" si="7"/>
        <v>0.39519957446439274</v>
      </c>
      <c r="S7">
        <f t="shared" si="8"/>
        <v>55.703808180535965</v>
      </c>
      <c r="T7">
        <f t="shared" si="9"/>
        <v>0.26151213371804777</v>
      </c>
      <c r="U7">
        <f t="shared" si="10"/>
        <v>261.51213371804778</v>
      </c>
    </row>
    <row r="8" spans="1:22">
      <c r="E8" s="1">
        <v>8.170833</v>
      </c>
      <c r="F8" s="1">
        <v>9.5325000000000006</v>
      </c>
      <c r="G8" s="1">
        <f t="shared" si="0"/>
        <v>5.7038081805359662</v>
      </c>
      <c r="I8" s="1">
        <v>51</v>
      </c>
      <c r="J8" s="1">
        <v>3.9123999999999999</v>
      </c>
      <c r="K8" s="1">
        <v>62.953400000000002</v>
      </c>
      <c r="L8">
        <f t="shared" si="1"/>
        <v>6.2147556764209716E-2</v>
      </c>
      <c r="M8">
        <f t="shared" si="2"/>
        <v>0.39610289805582016</v>
      </c>
      <c r="N8">
        <f t="shared" si="3"/>
        <v>0.97979876483206463</v>
      </c>
      <c r="O8">
        <f t="shared" si="4"/>
        <v>0.9786130154561925</v>
      </c>
      <c r="P8">
        <f t="shared" si="5"/>
        <v>1.0012116631979591</v>
      </c>
      <c r="Q8">
        <f t="shared" si="6"/>
        <v>6.3505753329102077E-2</v>
      </c>
      <c r="R8">
        <f t="shared" si="7"/>
        <v>0.39896765739960072</v>
      </c>
      <c r="S8">
        <f t="shared" si="8"/>
        <v>56.703808180535965</v>
      </c>
      <c r="T8">
        <f t="shared" si="9"/>
        <v>0.26030727542891779</v>
      </c>
      <c r="U8">
        <f t="shared" si="10"/>
        <v>260.30727542891782</v>
      </c>
    </row>
    <row r="9" spans="1:22">
      <c r="E9" s="1">
        <v>8.170833</v>
      </c>
      <c r="F9" s="1">
        <v>9.5325000000000006</v>
      </c>
      <c r="G9" s="1">
        <f t="shared" si="0"/>
        <v>5.7038081805359662</v>
      </c>
      <c r="I9" s="1">
        <v>52</v>
      </c>
      <c r="J9" s="1">
        <v>4.0491000000000001</v>
      </c>
      <c r="K9" s="1">
        <v>61.570099999999996</v>
      </c>
      <c r="L9">
        <f t="shared" si="1"/>
        <v>6.5764064050570004E-2</v>
      </c>
      <c r="M9">
        <f t="shared" si="2"/>
        <v>0.40364187467928297</v>
      </c>
      <c r="N9">
        <f t="shared" si="3"/>
        <v>0.97982790566070632</v>
      </c>
      <c r="O9">
        <f t="shared" si="4"/>
        <v>0.97897818579360496</v>
      </c>
      <c r="P9">
        <f t="shared" si="5"/>
        <v>1.000867966088961</v>
      </c>
      <c r="Q9">
        <f t="shared" si="6"/>
        <v>6.7176230282658053E-2</v>
      </c>
      <c r="R9">
        <f t="shared" si="7"/>
        <v>0.40651060164816855</v>
      </c>
      <c r="S9">
        <f t="shared" si="8"/>
        <v>57.703808180535965</v>
      </c>
      <c r="T9">
        <f t="shared" si="9"/>
        <v>0.25882776837755173</v>
      </c>
      <c r="U9">
        <f t="shared" si="10"/>
        <v>258.82776837755171</v>
      </c>
    </row>
    <row r="10" spans="1:22">
      <c r="E10" s="1">
        <v>8.170833</v>
      </c>
      <c r="F10" s="1">
        <v>9.5325000000000006</v>
      </c>
      <c r="G10" s="1">
        <f t="shared" si="0"/>
        <v>5.7038081805359662</v>
      </c>
      <c r="I10" s="1">
        <v>53</v>
      </c>
      <c r="J10" s="1">
        <v>4.2961</v>
      </c>
      <c r="K10" s="1">
        <v>60.549100000000003</v>
      </c>
      <c r="L10">
        <f t="shared" si="1"/>
        <v>7.0952334551628346E-2</v>
      </c>
      <c r="M10">
        <f t="shared" si="2"/>
        <v>0.41398909037901899</v>
      </c>
      <c r="N10">
        <f t="shared" si="3"/>
        <v>0.97928408115345322</v>
      </c>
      <c r="O10">
        <f t="shared" si="4"/>
        <v>0.97888839293351748</v>
      </c>
      <c r="P10">
        <f t="shared" si="5"/>
        <v>1.0004042219958804</v>
      </c>
      <c r="Q10">
        <f t="shared" si="6"/>
        <v>7.2482557831745759E-2</v>
      </c>
      <c r="R10">
        <f t="shared" si="7"/>
        <v>0.41694410404213489</v>
      </c>
      <c r="S10">
        <f t="shared" si="8"/>
        <v>58.703808180535965</v>
      </c>
      <c r="T10">
        <f t="shared" si="9"/>
        <v>0.26533925597694152</v>
      </c>
      <c r="U10">
        <f t="shared" si="10"/>
        <v>265.3392559769415</v>
      </c>
    </row>
    <row r="11" spans="1:22">
      <c r="E11" s="1">
        <v>8.170833</v>
      </c>
      <c r="F11" s="1">
        <v>9.5325000000000006</v>
      </c>
      <c r="G11" s="1">
        <f t="shared" si="0"/>
        <v>5.7038081805359662</v>
      </c>
      <c r="I11" s="1">
        <v>55</v>
      </c>
      <c r="J11" s="1">
        <v>4.5694999999999997</v>
      </c>
      <c r="K11" s="1">
        <v>58.935299999999998</v>
      </c>
      <c r="L11">
        <f t="shared" si="1"/>
        <v>7.753417730969385E-2</v>
      </c>
      <c r="M11">
        <f t="shared" si="2"/>
        <v>0.4264136131939712</v>
      </c>
      <c r="N11">
        <f t="shared" si="3"/>
        <v>0.97941519630900831</v>
      </c>
      <c r="O11">
        <f t="shared" si="4"/>
        <v>0.97955029996274401</v>
      </c>
      <c r="P11">
        <f t="shared" si="5"/>
        <v>0.99986207583853448</v>
      </c>
      <c r="Q11">
        <f t="shared" si="6"/>
        <v>7.9152828918170687E-2</v>
      </c>
      <c r="R11">
        <f t="shared" si="7"/>
        <v>0.42936055835077663</v>
      </c>
      <c r="S11">
        <f t="shared" si="8"/>
        <v>60.703808180535965</v>
      </c>
      <c r="T11">
        <f t="shared" si="9"/>
        <v>0.26550856282719493</v>
      </c>
      <c r="U11">
        <f t="shared" si="10"/>
        <v>265.50856282719491</v>
      </c>
    </row>
    <row r="12" spans="1:22">
      <c r="E12" s="1">
        <v>8.170833</v>
      </c>
      <c r="F12" s="1">
        <v>9.5325000000000006</v>
      </c>
      <c r="G12" s="1">
        <f t="shared" si="0"/>
        <v>5.7038081805359662</v>
      </c>
      <c r="I12" s="1">
        <v>60</v>
      </c>
      <c r="J12" s="1">
        <v>5.3616000000000001</v>
      </c>
      <c r="K12" s="1">
        <v>53.731499999999997</v>
      </c>
      <c r="L12">
        <f t="shared" si="1"/>
        <v>9.9785042293626655E-2</v>
      </c>
      <c r="M12">
        <f t="shared" si="2"/>
        <v>0.46382606300970813</v>
      </c>
      <c r="N12">
        <f t="shared" si="3"/>
        <v>0.97935079619800003</v>
      </c>
      <c r="O12">
        <f t="shared" si="4"/>
        <v>0.98059178237025124</v>
      </c>
      <c r="P12">
        <f t="shared" si="5"/>
        <v>0.99873445179272102</v>
      </c>
      <c r="Q12">
        <f t="shared" si="6"/>
        <v>0.10176002296534632</v>
      </c>
      <c r="R12">
        <f t="shared" si="7"/>
        <v>0.46686616300769357</v>
      </c>
      <c r="S12">
        <f t="shared" si="8"/>
        <v>65.703808180535972</v>
      </c>
      <c r="T12">
        <f t="shared" si="9"/>
        <v>0.26211571345382656</v>
      </c>
      <c r="U12">
        <f t="shared" si="10"/>
        <v>262.11571345382657</v>
      </c>
    </row>
    <row r="13" spans="1:22">
      <c r="E13" s="1">
        <v>8.170833</v>
      </c>
      <c r="F13" s="1">
        <v>9.5325000000000006</v>
      </c>
      <c r="G13" s="1">
        <f t="shared" si="0"/>
        <v>5.7038081805359662</v>
      </c>
      <c r="I13" s="1">
        <v>65</v>
      </c>
      <c r="J13" s="1">
        <v>6.1520999999999999</v>
      </c>
      <c r="K13" s="1">
        <v>50.569600000000001</v>
      </c>
      <c r="L13">
        <f t="shared" si="1"/>
        <v>0.12165609377966208</v>
      </c>
      <c r="M13">
        <f t="shared" si="2"/>
        <v>0.49550109957374844</v>
      </c>
      <c r="N13">
        <f t="shared" si="3"/>
        <v>0.97946599458652062</v>
      </c>
      <c r="O13">
        <f t="shared" si="4"/>
        <v>0.98144529257432578</v>
      </c>
      <c r="P13">
        <f t="shared" si="5"/>
        <v>0.99798328240730216</v>
      </c>
      <c r="Q13">
        <f t="shared" si="6"/>
        <v>0.12395606224831829</v>
      </c>
      <c r="R13">
        <f t="shared" si="7"/>
        <v>0.49860419005285544</v>
      </c>
      <c r="S13">
        <f t="shared" si="8"/>
        <v>70.703808180535972</v>
      </c>
      <c r="T13">
        <f t="shared" si="9"/>
        <v>0.26284732242371917</v>
      </c>
      <c r="U13">
        <f t="shared" si="10"/>
        <v>262.84732242371916</v>
      </c>
    </row>
    <row r="14" spans="1:22">
      <c r="E14" s="1">
        <v>8.170833</v>
      </c>
      <c r="F14" s="1">
        <v>9.5325000000000006</v>
      </c>
      <c r="G14" s="1">
        <f t="shared" si="0"/>
        <v>5.7038081805359662</v>
      </c>
      <c r="I14" s="1">
        <v>70</v>
      </c>
      <c r="J14" s="1">
        <v>6.9394</v>
      </c>
      <c r="K14" s="1">
        <v>46.287999999999997</v>
      </c>
      <c r="L14">
        <f t="shared" si="1"/>
        <v>0.14991790528862772</v>
      </c>
      <c r="M14">
        <f t="shared" si="2"/>
        <v>0.53123233507069823</v>
      </c>
      <c r="N14">
        <f t="shared" si="3"/>
        <v>0.97969436745136729</v>
      </c>
      <c r="O14">
        <f t="shared" si="4"/>
        <v>0.98217092453173871</v>
      </c>
      <c r="P14">
        <f t="shared" si="5"/>
        <v>0.99747848666814065</v>
      </c>
      <c r="Q14">
        <f t="shared" si="6"/>
        <v>0.15263932330322527</v>
      </c>
      <c r="R14">
        <f t="shared" si="7"/>
        <v>0.53442751619860451</v>
      </c>
      <c r="S14">
        <f t="shared" si="8"/>
        <v>75.703808180535972</v>
      </c>
      <c r="T14">
        <f t="shared" si="9"/>
        <v>0.25332983573592904</v>
      </c>
      <c r="U14">
        <f t="shared" si="10"/>
        <v>253.32983573592904</v>
      </c>
    </row>
    <row r="15" spans="1:22">
      <c r="E15" s="1">
        <v>8.170833</v>
      </c>
      <c r="F15" s="1">
        <v>9.5325000000000006</v>
      </c>
      <c r="G15" s="1">
        <f t="shared" si="0"/>
        <v>5.7038081805359662</v>
      </c>
      <c r="I15" s="1">
        <v>75</v>
      </c>
      <c r="J15" s="1">
        <v>7.8007</v>
      </c>
      <c r="K15" s="1">
        <v>42.105200000000004</v>
      </c>
      <c r="L15">
        <f t="shared" si="1"/>
        <v>0.18526690290035433</v>
      </c>
      <c r="M15">
        <f t="shared" si="2"/>
        <v>0.57007581109264227</v>
      </c>
      <c r="N15">
        <f t="shared" si="3"/>
        <v>0.97975775971170664</v>
      </c>
      <c r="O15">
        <f t="shared" si="4"/>
        <v>0.98262330538508569</v>
      </c>
      <c r="P15">
        <f t="shared" si="5"/>
        <v>0.99708378006335185</v>
      </c>
      <c r="Q15">
        <f t="shared" si="6"/>
        <v>0.18854315981010553</v>
      </c>
      <c r="R15">
        <f t="shared" si="7"/>
        <v>0.57341659879523366</v>
      </c>
      <c r="S15">
        <f t="shared" si="8"/>
        <v>80.703808180535972</v>
      </c>
      <c r="T15">
        <f t="shared" si="9"/>
        <v>0.24289418977270866</v>
      </c>
      <c r="U15">
        <f t="shared" si="10"/>
        <v>242.89418977270867</v>
      </c>
    </row>
    <row r="16" spans="1:22">
      <c r="E16" s="1">
        <v>8.170833</v>
      </c>
      <c r="F16" s="1">
        <v>9.5325000000000006</v>
      </c>
      <c r="G16" s="1">
        <f t="shared" si="0"/>
        <v>5.7038081805359662</v>
      </c>
      <c r="I16" s="1">
        <v>80</v>
      </c>
      <c r="J16" s="1">
        <v>8.6915999999999993</v>
      </c>
      <c r="K16" s="1">
        <v>39.239800000000002</v>
      </c>
      <c r="L16">
        <f t="shared" si="1"/>
        <v>0.22149959989602391</v>
      </c>
      <c r="M16">
        <f t="shared" si="2"/>
        <v>0.60504960538191144</v>
      </c>
      <c r="N16">
        <f t="shared" si="3"/>
        <v>0.97981412635590626</v>
      </c>
      <c r="O16">
        <f t="shared" si="4"/>
        <v>0.98296662757376441</v>
      </c>
      <c r="P16">
        <f t="shared" si="5"/>
        <v>0.99679287055183208</v>
      </c>
      <c r="Q16">
        <f t="shared" si="6"/>
        <v>0.22533786364929465</v>
      </c>
      <c r="R16">
        <f t="shared" si="7"/>
        <v>0.6085244850735807</v>
      </c>
      <c r="S16">
        <f t="shared" si="8"/>
        <v>85.703808180535972</v>
      </c>
      <c r="T16">
        <f t="shared" si="9"/>
        <v>0.23743323623545318</v>
      </c>
      <c r="U16">
        <f t="shared" si="10"/>
        <v>237.43323623545317</v>
      </c>
    </row>
    <row r="17" spans="5:21">
      <c r="E17" s="1">
        <v>8.170833</v>
      </c>
      <c r="F17" s="1">
        <v>9.5325000000000006</v>
      </c>
      <c r="G17" s="1">
        <f t="shared" si="0"/>
        <v>5.7038081805359662</v>
      </c>
      <c r="I17" s="1">
        <v>85</v>
      </c>
      <c r="J17" s="1">
        <v>9.5744000000000007</v>
      </c>
      <c r="K17" s="1">
        <v>36.374400000000001</v>
      </c>
      <c r="L17">
        <f t="shared" si="1"/>
        <v>0.26321808744611597</v>
      </c>
      <c r="M17">
        <f t="shared" si="2"/>
        <v>0.64087290349675285</v>
      </c>
      <c r="N17">
        <f t="shared" si="3"/>
        <v>0.97995197566494108</v>
      </c>
      <c r="O17">
        <f t="shared" si="4"/>
        <v>0.98329889457655684</v>
      </c>
      <c r="P17">
        <f t="shared" si="5"/>
        <v>0.99659623444094581</v>
      </c>
      <c r="Q17">
        <f t="shared" si="6"/>
        <v>0.26768878608316443</v>
      </c>
      <c r="R17">
        <f t="shared" si="7"/>
        <v>0.64448091247215222</v>
      </c>
      <c r="S17">
        <f t="shared" si="8"/>
        <v>90.703808180535972</v>
      </c>
      <c r="T17">
        <f t="shared" si="9"/>
        <v>0.22903999150683713</v>
      </c>
      <c r="U17">
        <f t="shared" si="10"/>
        <v>229.03999150683714</v>
      </c>
    </row>
    <row r="18" spans="5:21">
      <c r="E18" s="1">
        <v>8.170833</v>
      </c>
      <c r="F18" s="1">
        <v>9.5325000000000006</v>
      </c>
      <c r="G18" s="1">
        <f t="shared" si="0"/>
        <v>5.7038081805359662</v>
      </c>
      <c r="I18" s="1">
        <v>90</v>
      </c>
      <c r="J18" s="1">
        <v>10.606999999999999</v>
      </c>
      <c r="K18" s="1">
        <v>34.529899999999998</v>
      </c>
      <c r="L18">
        <f t="shared" si="1"/>
        <v>0.30718305005227353</v>
      </c>
      <c r="M18">
        <f t="shared" si="2"/>
        <v>0.67473372216976013</v>
      </c>
      <c r="N18">
        <f t="shared" si="3"/>
        <v>0.97978338603129633</v>
      </c>
      <c r="O18">
        <f t="shared" si="4"/>
        <v>0.98333790591133508</v>
      </c>
      <c r="P18">
        <f t="shared" si="5"/>
        <v>0.99638525082916996</v>
      </c>
      <c r="Q18">
        <f t="shared" si="6"/>
        <v>0.31238808979664351</v>
      </c>
      <c r="R18">
        <f t="shared" si="7"/>
        <v>0.67852338886976682</v>
      </c>
      <c r="S18">
        <f t="shared" si="8"/>
        <v>95.703808180535972</v>
      </c>
      <c r="T18">
        <f t="shared" si="9"/>
        <v>0.22824230931550255</v>
      </c>
      <c r="U18">
        <f t="shared" si="10"/>
        <v>228.24230931550255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82E2-0AAF-4EBB-8646-72D2B75F786C}">
  <dimension ref="A1:V18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7.16406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0" width="11.25" bestFit="1" customWidth="1"/>
    <col min="21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58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57</v>
      </c>
      <c r="B2" s="2">
        <v>3.8666999999999998</v>
      </c>
      <c r="C2" s="2">
        <v>25.086670000000002</v>
      </c>
      <c r="D2" s="2">
        <v>45</v>
      </c>
      <c r="E2" s="2">
        <v>8.1632999999999996</v>
      </c>
      <c r="F2" s="2">
        <v>9.5250000000000004</v>
      </c>
      <c r="G2" s="2">
        <f>0.07887/0.00661</f>
        <v>11.931921331316186</v>
      </c>
      <c r="H2" s="2" t="s">
        <v>9</v>
      </c>
      <c r="I2" s="2">
        <v>45</v>
      </c>
      <c r="J2" s="2">
        <v>3.6267</v>
      </c>
      <c r="K2" s="2">
        <v>69.079499999999996</v>
      </c>
      <c r="L2" s="3">
        <f>J2:J25/K2:K25</f>
        <v>5.2500379996960028E-2</v>
      </c>
      <c r="M2" s="3">
        <f>(L2:L25)^(1/3)</f>
        <v>0.37444452277104451</v>
      </c>
      <c r="N2" s="3">
        <f>1-((3/10)*(J2:J25/I2:I25)^2)-((3/2)*((J2:J25*E2)/(I2:I25)^2))</f>
        <v>0.97612116245333336</v>
      </c>
      <c r="O2" s="3">
        <f>1-(F2/I2:I25)^3-((9/8)*(1-(F2/I2:I25)^2)*((J2:J25*E2)/I2:I25^2))-((9/35)*(J2:J25/I2:I25)^2)</f>
        <v>0.97313574233335531</v>
      </c>
      <c r="P2" s="3">
        <f>N2:N25/O2:O25</f>
        <v>1.0030678352362432</v>
      </c>
      <c r="Q2" s="3">
        <f>L2:L25/O2:O25</f>
        <v>5.3949698601221049E-2</v>
      </c>
      <c r="R2" s="3">
        <f>Q2:Q25^(1/3)</f>
        <v>0.37785891593199927</v>
      </c>
      <c r="S2" s="3">
        <f>I2:I25+G2</f>
        <v>56.93192133131619</v>
      </c>
      <c r="T2" s="3">
        <f>(P2:P25*3*K2:K25*J2:J25)/(2*25.08667*S2:S25)</f>
        <v>0.26392681914400301</v>
      </c>
      <c r="U2" s="3">
        <f>T2:T25*1000</f>
        <v>263.92681914400299</v>
      </c>
      <c r="V2">
        <f>AVERAGE(U3:U18)</f>
        <v>258.86964585918759</v>
      </c>
    </row>
    <row r="3" spans="1:22">
      <c r="E3" s="1">
        <v>8.1632999999999996</v>
      </c>
      <c r="F3" s="1">
        <v>9.5250000000000004</v>
      </c>
      <c r="G3" s="1">
        <f t="shared" ref="G3:G18" si="0">0.07887/0.00661</f>
        <v>11.931921331316186</v>
      </c>
      <c r="I3" s="1">
        <v>46</v>
      </c>
      <c r="J3" s="1">
        <v>3.7197</v>
      </c>
      <c r="K3" s="1">
        <v>67.004499999999993</v>
      </c>
      <c r="L3">
        <f t="shared" ref="L3:L18" si="1">J3:J26/K3:K26</f>
        <v>5.5514181883306354E-2</v>
      </c>
      <c r="M3">
        <f t="shared" ref="M3:M18" si="2">(L3:L26)^(1/3)</f>
        <v>0.38147666859693197</v>
      </c>
      <c r="N3">
        <f t="shared" ref="N3:N18" si="3">1-((3/10)*(J3:J26/I3:I26)^2)-((3/2)*((J3:J26*E3)/(I3:I26)^2))</f>
        <v>0.97651304775897929</v>
      </c>
      <c r="O3">
        <f t="shared" ref="O3:O18" si="4">1-(F3/I3:I26)^3-((9/8)*(1-(F3/I3:I26)^2)*((J3:J26*E3)/I3:I26^2))-((9/35)*(J3:J26/I3:I26)^2)</f>
        <v>0.97398866916882243</v>
      </c>
      <c r="P3">
        <f t="shared" ref="P3:P18" si="5">N3:N26/O3:O26</f>
        <v>1.0025917946173963</v>
      </c>
      <c r="Q3">
        <f t="shared" ref="Q3:Q18" si="6">L3:L26/O3:O26</f>
        <v>5.6996743022360588E-2</v>
      </c>
      <c r="R3">
        <f t="shared" ref="R3:R18" si="7">Q3:Q26^(1/3)</f>
        <v>0.38484278288155344</v>
      </c>
      <c r="S3">
        <f t="shared" ref="S3:S18" si="8">I3:I26+G3</f>
        <v>57.93192133131619</v>
      </c>
      <c r="T3">
        <f t="shared" ref="T3:T18" si="9">(P3:P26*3*K3:K26*J3:J26)/(2*25.08667*S3:S26)</f>
        <v>0.25790890717916032</v>
      </c>
      <c r="U3">
        <f t="shared" ref="U3:U18" si="10">T3:T26*1000</f>
        <v>257.90890717916034</v>
      </c>
    </row>
    <row r="4" spans="1:22">
      <c r="E4" s="1">
        <v>8.1632999999999996</v>
      </c>
      <c r="F4" s="1">
        <v>9.5250000000000004</v>
      </c>
      <c r="G4" s="1">
        <f t="shared" si="0"/>
        <v>11.931921331316186</v>
      </c>
      <c r="I4" s="1">
        <v>47</v>
      </c>
      <c r="J4" s="1">
        <v>3.891</v>
      </c>
      <c r="K4" s="1">
        <v>66.411699999999996</v>
      </c>
      <c r="L4">
        <f t="shared" si="1"/>
        <v>5.8589073913180967E-2</v>
      </c>
      <c r="M4">
        <f t="shared" si="2"/>
        <v>0.38839373074610123</v>
      </c>
      <c r="N4">
        <f t="shared" si="3"/>
        <v>0.9763752536215482</v>
      </c>
      <c r="O4">
        <f t="shared" si="4"/>
        <v>0.97440211241655839</v>
      </c>
      <c r="P4">
        <f t="shared" si="5"/>
        <v>1.0020249763212195</v>
      </c>
      <c r="Q4">
        <f t="shared" si="6"/>
        <v>6.0128229574418296E-2</v>
      </c>
      <c r="R4">
        <f t="shared" si="7"/>
        <v>0.39176545557033443</v>
      </c>
      <c r="S4">
        <f t="shared" si="8"/>
        <v>58.93192133131619</v>
      </c>
      <c r="T4">
        <f t="shared" si="9"/>
        <v>0.26271327396027339</v>
      </c>
      <c r="U4">
        <f t="shared" si="10"/>
        <v>262.7132739602734</v>
      </c>
    </row>
    <row r="5" spans="1:22">
      <c r="E5" s="1">
        <v>8.1632999999999996</v>
      </c>
      <c r="F5" s="1">
        <v>9.5250000000000004</v>
      </c>
      <c r="G5" s="1">
        <f t="shared" si="0"/>
        <v>11.931921331316186</v>
      </c>
      <c r="I5" s="1">
        <v>48</v>
      </c>
      <c r="J5" s="1">
        <v>4.0079000000000002</v>
      </c>
      <c r="K5" s="1">
        <v>66.181100000000001</v>
      </c>
      <c r="L5">
        <f t="shared" si="1"/>
        <v>6.0559585742757376E-2</v>
      </c>
      <c r="M5">
        <f t="shared" si="2"/>
        <v>0.39270005784143386</v>
      </c>
      <c r="N5">
        <f t="shared" si="3"/>
        <v>0.97660784990104166</v>
      </c>
      <c r="O5">
        <f t="shared" si="4"/>
        <v>0.97504690128398819</v>
      </c>
      <c r="P5">
        <f t="shared" si="5"/>
        <v>1.0016008959312603</v>
      </c>
      <c r="Q5">
        <f t="shared" si="6"/>
        <v>6.2109407930028421E-2</v>
      </c>
      <c r="R5">
        <f t="shared" si="7"/>
        <v>0.39602183315417283</v>
      </c>
      <c r="S5">
        <f t="shared" si="8"/>
        <v>59.93192133131619</v>
      </c>
      <c r="T5">
        <f t="shared" si="9"/>
        <v>0.26505475760137903</v>
      </c>
      <c r="U5">
        <f t="shared" si="10"/>
        <v>265.05475760137904</v>
      </c>
    </row>
    <row r="6" spans="1:22">
      <c r="E6" s="1">
        <v>8.1632999999999996</v>
      </c>
      <c r="F6" s="1">
        <v>9.5250000000000004</v>
      </c>
      <c r="G6" s="1">
        <f t="shared" si="0"/>
        <v>11.931921331316186</v>
      </c>
      <c r="I6" s="1">
        <v>49</v>
      </c>
      <c r="J6" s="1">
        <v>4.1660000000000004</v>
      </c>
      <c r="K6" s="1">
        <v>65.357699999999994</v>
      </c>
      <c r="L6">
        <f t="shared" si="1"/>
        <v>6.374153313228588E-2</v>
      </c>
      <c r="M6">
        <f t="shared" si="2"/>
        <v>0.39946080084620295</v>
      </c>
      <c r="N6">
        <f t="shared" si="3"/>
        <v>0.97658511932528114</v>
      </c>
      <c r="O6">
        <f t="shared" si="4"/>
        <v>0.97546336379939058</v>
      </c>
      <c r="P6">
        <f t="shared" si="5"/>
        <v>1.0011499719697532</v>
      </c>
      <c r="Q6">
        <f t="shared" si="6"/>
        <v>6.5344876596918178E-2</v>
      </c>
      <c r="R6">
        <f t="shared" si="7"/>
        <v>0.40278242662119285</v>
      </c>
      <c r="S6">
        <f t="shared" si="8"/>
        <v>60.93192133131619</v>
      </c>
      <c r="T6">
        <f t="shared" si="9"/>
        <v>0.26749676554648394</v>
      </c>
      <c r="U6">
        <f t="shared" si="10"/>
        <v>267.49676554648391</v>
      </c>
    </row>
    <row r="7" spans="1:22">
      <c r="E7" s="1">
        <v>8.1632999999999996</v>
      </c>
      <c r="F7" s="1">
        <v>9.5250000000000004</v>
      </c>
      <c r="G7" s="1">
        <f t="shared" si="0"/>
        <v>11.931921331316186</v>
      </c>
      <c r="I7" s="1">
        <v>50</v>
      </c>
      <c r="J7" s="1">
        <v>4.3174999999999999</v>
      </c>
      <c r="K7" s="1">
        <v>64.270899999999997</v>
      </c>
      <c r="L7">
        <f t="shared" si="1"/>
        <v>6.7176591583438222E-2</v>
      </c>
      <c r="M7">
        <f t="shared" si="2"/>
        <v>0.4065113304393575</v>
      </c>
      <c r="N7">
        <f t="shared" si="3"/>
        <v>0.97661607459999999</v>
      </c>
      <c r="O7">
        <f t="shared" si="4"/>
        <v>0.97588466903342075</v>
      </c>
      <c r="P7">
        <f t="shared" si="5"/>
        <v>1.00074947951309</v>
      </c>
      <c r="Q7">
        <f t="shared" si="6"/>
        <v>6.8836609196837026E-2</v>
      </c>
      <c r="R7">
        <f t="shared" si="7"/>
        <v>0.40983258919112209</v>
      </c>
      <c r="S7">
        <f t="shared" si="8"/>
        <v>61.93192133131619</v>
      </c>
      <c r="T7">
        <f t="shared" si="9"/>
        <v>0.26810554069445658</v>
      </c>
      <c r="U7">
        <f t="shared" si="10"/>
        <v>268.10554069445658</v>
      </c>
    </row>
    <row r="8" spans="1:22">
      <c r="E8" s="1">
        <v>8.1632999999999996</v>
      </c>
      <c r="F8" s="1">
        <v>9.5250000000000004</v>
      </c>
      <c r="G8" s="1">
        <f t="shared" si="0"/>
        <v>11.931921331316186</v>
      </c>
      <c r="I8" s="1">
        <v>51</v>
      </c>
      <c r="J8" s="1">
        <v>4.4722999999999997</v>
      </c>
      <c r="K8" s="1">
        <v>62.986400000000003</v>
      </c>
      <c r="L8">
        <f t="shared" si="1"/>
        <v>7.1004216783305596E-2</v>
      </c>
      <c r="M8">
        <f t="shared" si="2"/>
        <v>0.41408997240026324</v>
      </c>
      <c r="N8">
        <f t="shared" si="3"/>
        <v>0.97663839674279118</v>
      </c>
      <c r="O8">
        <f t="shared" si="4"/>
        <v>0.97626787745049648</v>
      </c>
      <c r="P8">
        <f t="shared" si="5"/>
        <v>1.0003795262559108</v>
      </c>
      <c r="Q8">
        <f t="shared" si="6"/>
        <v>7.2730260232193283E-2</v>
      </c>
      <c r="R8">
        <f t="shared" si="7"/>
        <v>0.41741851992758722</v>
      </c>
      <c r="S8">
        <f t="shared" si="8"/>
        <v>62.93192133131619</v>
      </c>
      <c r="T8">
        <f t="shared" si="9"/>
        <v>0.26774400837921253</v>
      </c>
      <c r="U8">
        <f t="shared" si="10"/>
        <v>267.74400837921252</v>
      </c>
    </row>
    <row r="9" spans="1:22">
      <c r="E9" s="1">
        <v>8.1632999999999996</v>
      </c>
      <c r="F9" s="1">
        <v>9.5250000000000004</v>
      </c>
      <c r="G9" s="1">
        <f t="shared" si="0"/>
        <v>11.931921331316186</v>
      </c>
      <c r="I9" s="1">
        <v>52</v>
      </c>
      <c r="J9" s="1">
        <v>4.5957999999999997</v>
      </c>
      <c r="K9" s="1">
        <v>62.097099999999998</v>
      </c>
      <c r="L9">
        <f t="shared" si="1"/>
        <v>7.4009897402616223E-2</v>
      </c>
      <c r="M9">
        <f t="shared" si="2"/>
        <v>0.41985236194561687</v>
      </c>
      <c r="N9">
        <f t="shared" si="3"/>
        <v>0.97684476534689346</v>
      </c>
      <c r="O9">
        <f t="shared" si="4"/>
        <v>0.97676032521183909</v>
      </c>
      <c r="P9">
        <f t="shared" si="5"/>
        <v>1.0000864491860233</v>
      </c>
      <c r="Q9">
        <f t="shared" si="6"/>
        <v>7.5770785823600084E-2</v>
      </c>
      <c r="R9">
        <f t="shared" si="7"/>
        <v>0.42315609152450645</v>
      </c>
      <c r="S9">
        <f t="shared" si="8"/>
        <v>63.93192133131619</v>
      </c>
      <c r="T9">
        <f t="shared" si="9"/>
        <v>0.26693189396645295</v>
      </c>
      <c r="U9">
        <f t="shared" si="10"/>
        <v>266.93189396645295</v>
      </c>
    </row>
    <row r="10" spans="1:22">
      <c r="E10" s="1">
        <v>8.1632999999999996</v>
      </c>
      <c r="F10" s="1">
        <v>9.5250000000000004</v>
      </c>
      <c r="G10" s="1">
        <f t="shared" si="0"/>
        <v>11.931921331316186</v>
      </c>
      <c r="I10" s="1">
        <v>53</v>
      </c>
      <c r="J10" s="1">
        <v>4.7439999999999998</v>
      </c>
      <c r="K10" s="1">
        <v>61.273699999999998</v>
      </c>
      <c r="L10">
        <f t="shared" si="1"/>
        <v>7.7423103223732206E-2</v>
      </c>
      <c r="M10">
        <f t="shared" si="2"/>
        <v>0.4262098916896398</v>
      </c>
      <c r="N10">
        <f t="shared" si="3"/>
        <v>0.97691644585261661</v>
      </c>
      <c r="O10">
        <f t="shared" si="4"/>
        <v>0.97712621830145685</v>
      </c>
      <c r="P10">
        <f t="shared" si="5"/>
        <v>0.99978531693765738</v>
      </c>
      <c r="Q10">
        <f t="shared" si="6"/>
        <v>7.9235519192512469E-2</v>
      </c>
      <c r="R10">
        <f t="shared" si="7"/>
        <v>0.42951002273279837</v>
      </c>
      <c r="S10">
        <f t="shared" si="8"/>
        <v>64.93192133131619</v>
      </c>
      <c r="T10">
        <f t="shared" si="9"/>
        <v>0.26761812824412479</v>
      </c>
      <c r="U10">
        <f t="shared" si="10"/>
        <v>267.61812824412476</v>
      </c>
    </row>
    <row r="11" spans="1:22">
      <c r="E11" s="1">
        <v>8.1632999999999996</v>
      </c>
      <c r="F11" s="1">
        <v>9.5250000000000004</v>
      </c>
      <c r="G11" s="1">
        <f t="shared" si="0"/>
        <v>11.931921331316186</v>
      </c>
      <c r="I11" s="1">
        <v>55</v>
      </c>
      <c r="J11" s="1">
        <v>5.0948000000000002</v>
      </c>
      <c r="K11" s="1">
        <v>59.758699999999997</v>
      </c>
      <c r="L11">
        <f t="shared" si="1"/>
        <v>8.5256205372606836E-2</v>
      </c>
      <c r="M11">
        <f t="shared" si="2"/>
        <v>0.44012428543529514</v>
      </c>
      <c r="N11">
        <f t="shared" si="3"/>
        <v>0.97680242400925621</v>
      </c>
      <c r="O11">
        <f t="shared" si="4"/>
        <v>0.97759584706930347</v>
      </c>
      <c r="P11">
        <f t="shared" si="5"/>
        <v>0.99918839358572786</v>
      </c>
      <c r="Q11">
        <f t="shared" si="6"/>
        <v>8.7210073189440296E-2</v>
      </c>
      <c r="R11">
        <f t="shared" si="7"/>
        <v>0.44346112082594064</v>
      </c>
      <c r="S11">
        <f t="shared" si="8"/>
        <v>66.93192133131619</v>
      </c>
      <c r="T11">
        <f t="shared" si="9"/>
        <v>0.27176317778537484</v>
      </c>
      <c r="U11">
        <f t="shared" si="10"/>
        <v>271.76317778537486</v>
      </c>
    </row>
    <row r="12" spans="1:22">
      <c r="E12" s="1">
        <v>8.1632999999999996</v>
      </c>
      <c r="F12" s="1">
        <v>9.5250000000000004</v>
      </c>
      <c r="G12" s="1">
        <f t="shared" si="0"/>
        <v>11.931921331316186</v>
      </c>
      <c r="I12" s="1">
        <v>60</v>
      </c>
      <c r="J12" s="1">
        <v>5.7469999999999999</v>
      </c>
      <c r="K12" s="1">
        <v>55.773499999999999</v>
      </c>
      <c r="L12">
        <f t="shared" si="1"/>
        <v>0.10304176714748044</v>
      </c>
      <c r="M12">
        <f t="shared" si="2"/>
        <v>0.46881816721088709</v>
      </c>
      <c r="N12">
        <f t="shared" si="3"/>
        <v>0.97769996379166668</v>
      </c>
      <c r="O12">
        <f t="shared" si="4"/>
        <v>0.97934880633700094</v>
      </c>
      <c r="P12">
        <f t="shared" si="5"/>
        <v>0.99831638887527585</v>
      </c>
      <c r="Q12">
        <f t="shared" si="6"/>
        <v>0.10521457368481545</v>
      </c>
      <c r="R12">
        <f t="shared" si="7"/>
        <v>0.47209054222304275</v>
      </c>
      <c r="S12">
        <f t="shared" si="8"/>
        <v>71.93192133131619</v>
      </c>
      <c r="T12">
        <f t="shared" si="9"/>
        <v>0.26598912348559473</v>
      </c>
      <c r="U12">
        <f t="shared" si="10"/>
        <v>265.98912348559475</v>
      </c>
    </row>
    <row r="13" spans="1:22">
      <c r="E13" s="1">
        <v>8.1632999999999996</v>
      </c>
      <c r="F13" s="1">
        <v>9.5250000000000004</v>
      </c>
      <c r="G13" s="1">
        <f t="shared" si="0"/>
        <v>11.931921331316186</v>
      </c>
      <c r="I13" s="1">
        <v>65</v>
      </c>
      <c r="J13" s="1">
        <v>6.4519000000000002</v>
      </c>
      <c r="K13" s="1">
        <v>51.261299999999999</v>
      </c>
      <c r="L13">
        <f t="shared" si="1"/>
        <v>0.12586298045504113</v>
      </c>
      <c r="M13">
        <f t="shared" si="2"/>
        <v>0.50114800276872118</v>
      </c>
      <c r="N13">
        <f t="shared" si="3"/>
        <v>0.9783452551507692</v>
      </c>
      <c r="O13">
        <f t="shared" si="4"/>
        <v>0.98059670535429333</v>
      </c>
      <c r="P13">
        <f t="shared" si="5"/>
        <v>0.99770399982864444</v>
      </c>
      <c r="Q13">
        <f t="shared" si="6"/>
        <v>0.12835346046728391</v>
      </c>
      <c r="R13">
        <f t="shared" si="7"/>
        <v>0.50443188141185225</v>
      </c>
      <c r="S13">
        <f t="shared" si="8"/>
        <v>76.93192133131619</v>
      </c>
      <c r="T13">
        <f t="shared" si="9"/>
        <v>0.25646057986753751</v>
      </c>
      <c r="U13">
        <f t="shared" si="10"/>
        <v>256.46057986753749</v>
      </c>
    </row>
    <row r="14" spans="1:22">
      <c r="E14" s="1">
        <v>8.1632999999999996</v>
      </c>
      <c r="F14" s="1">
        <v>9.5250000000000004</v>
      </c>
      <c r="G14" s="1">
        <f t="shared" si="0"/>
        <v>11.931921331316186</v>
      </c>
      <c r="I14" s="1">
        <v>70</v>
      </c>
      <c r="J14" s="1">
        <v>7.2506000000000004</v>
      </c>
      <c r="K14" s="1">
        <v>47.967700000000001</v>
      </c>
      <c r="L14">
        <f t="shared" si="1"/>
        <v>0.151155881978915</v>
      </c>
      <c r="M14">
        <f t="shared" si="2"/>
        <v>0.53269058043962336</v>
      </c>
      <c r="N14">
        <f t="shared" si="3"/>
        <v>0.97866232763714289</v>
      </c>
      <c r="O14">
        <f t="shared" si="4"/>
        <v>0.98138408064256599</v>
      </c>
      <c r="P14">
        <f t="shared" si="5"/>
        <v>0.99722661793775891</v>
      </c>
      <c r="Q14">
        <f t="shared" si="6"/>
        <v>0.15402316479389491</v>
      </c>
      <c r="R14">
        <f t="shared" si="7"/>
        <v>0.53603771546480705</v>
      </c>
      <c r="S14">
        <f t="shared" si="8"/>
        <v>81.93192133131619</v>
      </c>
      <c r="T14">
        <f t="shared" si="9"/>
        <v>0.25311145864921192</v>
      </c>
      <c r="U14">
        <f t="shared" si="10"/>
        <v>253.11145864921193</v>
      </c>
    </row>
    <row r="15" spans="1:22">
      <c r="E15" s="1">
        <v>8.1632999999999996</v>
      </c>
      <c r="F15" s="1">
        <v>9.5250000000000004</v>
      </c>
      <c r="G15" s="1">
        <f t="shared" si="0"/>
        <v>11.931921331316186</v>
      </c>
      <c r="I15" s="1">
        <v>75</v>
      </c>
      <c r="J15" s="1">
        <v>8.1630000000000003</v>
      </c>
      <c r="K15" s="1">
        <v>44.114199999999997</v>
      </c>
      <c r="L15">
        <f t="shared" si="1"/>
        <v>0.1850424579840505</v>
      </c>
      <c r="M15">
        <f t="shared" si="2"/>
        <v>0.56984550854018956</v>
      </c>
      <c r="N15">
        <f t="shared" si="3"/>
        <v>0.97867628488000002</v>
      </c>
      <c r="O15">
        <f t="shared" si="4"/>
        <v>0.98179301938662755</v>
      </c>
      <c r="P15">
        <f t="shared" si="5"/>
        <v>0.99682546682948037</v>
      </c>
      <c r="Q15">
        <f t="shared" si="6"/>
        <v>0.18847400045648649</v>
      </c>
      <c r="R15">
        <f t="shared" si="7"/>
        <v>0.57334647873851352</v>
      </c>
      <c r="S15">
        <f t="shared" si="8"/>
        <v>86.93192133131619</v>
      </c>
      <c r="T15">
        <f t="shared" si="9"/>
        <v>0.24689727284121282</v>
      </c>
      <c r="U15">
        <f t="shared" si="10"/>
        <v>246.89727284121281</v>
      </c>
    </row>
    <row r="16" spans="1:22">
      <c r="E16" s="1">
        <v>8.1632999999999996</v>
      </c>
      <c r="F16" s="1">
        <v>9.5250000000000004</v>
      </c>
      <c r="G16" s="1">
        <f t="shared" si="0"/>
        <v>11.931921331316186</v>
      </c>
      <c r="I16" s="1">
        <v>80</v>
      </c>
      <c r="J16" s="1">
        <v>9.2467000000000006</v>
      </c>
      <c r="K16" s="1">
        <v>40.688899999999997</v>
      </c>
      <c r="L16">
        <f t="shared" si="1"/>
        <v>0.22725362445286065</v>
      </c>
      <c r="M16">
        <f t="shared" si="2"/>
        <v>0.61024412378111825</v>
      </c>
      <c r="N16">
        <f t="shared" si="3"/>
        <v>0.97830065352624995</v>
      </c>
      <c r="O16">
        <f t="shared" si="4"/>
        <v>0.98179635279760347</v>
      </c>
      <c r="P16">
        <f t="shared" si="5"/>
        <v>0.99643948639512403</v>
      </c>
      <c r="Q16">
        <f t="shared" si="6"/>
        <v>0.23146717117588317</v>
      </c>
      <c r="R16">
        <f t="shared" si="7"/>
        <v>0.61399259680467744</v>
      </c>
      <c r="S16">
        <f t="shared" si="8"/>
        <v>91.93192133131619</v>
      </c>
      <c r="T16">
        <f t="shared" si="9"/>
        <v>0.24383472321339827</v>
      </c>
      <c r="U16">
        <f t="shared" si="10"/>
        <v>243.83472321339826</v>
      </c>
    </row>
    <row r="17" spans="5:21">
      <c r="E17" s="1">
        <v>8.1632999999999996</v>
      </c>
      <c r="F17" s="1">
        <v>9.5250000000000004</v>
      </c>
      <c r="G17" s="1">
        <f t="shared" si="0"/>
        <v>11.931921331316186</v>
      </c>
      <c r="I17" s="1">
        <v>85</v>
      </c>
      <c r="J17" s="1">
        <v>10.1228</v>
      </c>
      <c r="K17" s="1">
        <v>38.943300000000001</v>
      </c>
      <c r="L17">
        <f t="shared" si="1"/>
        <v>0.25993688259597925</v>
      </c>
      <c r="M17">
        <f t="shared" si="2"/>
        <v>0.63819877864173702</v>
      </c>
      <c r="N17">
        <f t="shared" si="3"/>
        <v>0.97858899601217986</v>
      </c>
      <c r="O17">
        <f t="shared" si="4"/>
        <v>0.98224030157035713</v>
      </c>
      <c r="P17">
        <f t="shared" si="5"/>
        <v>0.99628267588660357</v>
      </c>
      <c r="Q17">
        <f t="shared" si="6"/>
        <v>0.26463675149594762</v>
      </c>
      <c r="R17">
        <f t="shared" si="7"/>
        <v>0.64202221004734961</v>
      </c>
      <c r="S17">
        <f t="shared" si="8"/>
        <v>96.93192133131619</v>
      </c>
      <c r="T17">
        <f t="shared" si="9"/>
        <v>0.24226875422210684</v>
      </c>
      <c r="U17">
        <f t="shared" si="10"/>
        <v>242.26875422210685</v>
      </c>
    </row>
    <row r="18" spans="5:21">
      <c r="E18" s="1">
        <v>8.1632999999999996</v>
      </c>
      <c r="F18" s="1">
        <v>9.5250000000000004</v>
      </c>
      <c r="G18" s="1">
        <f t="shared" si="0"/>
        <v>11.931921331316186</v>
      </c>
      <c r="I18" s="1">
        <v>90</v>
      </c>
      <c r="J18" s="1">
        <v>11.087899999999999</v>
      </c>
      <c r="K18" s="1">
        <v>36.736699999999999</v>
      </c>
      <c r="L18">
        <f t="shared" si="1"/>
        <v>0.30182079500880588</v>
      </c>
      <c r="M18">
        <f t="shared" si="2"/>
        <v>0.67078455285090366</v>
      </c>
      <c r="N18">
        <f t="shared" si="3"/>
        <v>0.97868478530518521</v>
      </c>
      <c r="O18">
        <f t="shared" si="4"/>
        <v>0.98248112700881596</v>
      </c>
      <c r="P18">
        <f t="shared" si="5"/>
        <v>0.99613596475365507</v>
      </c>
      <c r="Q18">
        <f t="shared" si="6"/>
        <v>0.30720263902443146</v>
      </c>
      <c r="R18">
        <f t="shared" si="7"/>
        <v>0.67474806438813228</v>
      </c>
      <c r="S18">
        <f t="shared" si="8"/>
        <v>101.93192133131619</v>
      </c>
      <c r="T18">
        <f t="shared" si="9"/>
        <v>0.23801596811102066</v>
      </c>
      <c r="U18">
        <f t="shared" si="10"/>
        <v>238.01596811102067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F658-3877-4EB8-8930-530AF085F7D4}">
  <dimension ref="A1:V19"/>
  <sheetViews>
    <sheetView topLeftCell="I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60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59</v>
      </c>
      <c r="B2" s="2">
        <v>3.9166699999999999</v>
      </c>
      <c r="C2" s="2">
        <v>25.066700000000001</v>
      </c>
      <c r="D2" s="2">
        <v>45</v>
      </c>
      <c r="E2" s="2">
        <v>8.2332999999999998</v>
      </c>
      <c r="F2" s="2">
        <v>9.5449999999999999</v>
      </c>
      <c r="G2" s="2">
        <f>0.06943/0.00663</f>
        <v>10.472096530920062</v>
      </c>
      <c r="H2" s="2" t="s">
        <v>9</v>
      </c>
      <c r="I2" s="2">
        <v>45</v>
      </c>
      <c r="J2" s="2">
        <v>3.3294999999999999</v>
      </c>
      <c r="K2" s="2">
        <v>68.103700000000003</v>
      </c>
      <c r="L2" s="3">
        <f>J2:J25/K2:K25</f>
        <v>4.8888680057030669E-2</v>
      </c>
      <c r="M2" s="3">
        <f>(L2:L25)^(1/3)</f>
        <v>0.36565324952400402</v>
      </c>
      <c r="N2" s="3">
        <f>1-((3/10)*(J2:J25/I2:I25)^2)-((3/2)*((J2:J25*E2)/(I2:I25)^2))</f>
        <v>0.97805193600000007</v>
      </c>
      <c r="O2" s="3">
        <f>1-(F2/I2:I25)^3-((9/8)*(1-(F2/I2:I25)^2)*((J2:J25*E2)/I2:I25^2))-((9/35)*(J2:J25/I2:I25)^2)</f>
        <v>0.97450505750595429</v>
      </c>
      <c r="P2" s="3">
        <f>N2:N25/O2:O25</f>
        <v>1.0036396717151199</v>
      </c>
      <c r="Q2" s="3">
        <f>L2:L25/O2:O25</f>
        <v>5.0167702753797103E-2</v>
      </c>
      <c r="R2" s="3">
        <f>Q2:Q25^(1/3)</f>
        <v>0.36881457171405696</v>
      </c>
      <c r="S2" s="3">
        <f>I2:I25+G2</f>
        <v>55.472096530920062</v>
      </c>
      <c r="T2" s="3">
        <f>(P2:P25*3*K2:K25*J2:J25)/(2*25.0667*S2:S25)</f>
        <v>0.24549749319213207</v>
      </c>
      <c r="U2" s="3">
        <f>T2:T25*1000</f>
        <v>245.49749319213208</v>
      </c>
      <c r="V2">
        <f>AVERAGE(U3:U18)</f>
        <v>255.15203463470925</v>
      </c>
    </row>
    <row r="3" spans="1:22">
      <c r="E3" s="1">
        <v>8.2332999999999998</v>
      </c>
      <c r="F3" s="1">
        <v>9.5449999999999999</v>
      </c>
      <c r="G3" s="1">
        <f t="shared" ref="G3:G18" si="0">0.06943/0.00663</f>
        <v>10.472096530920062</v>
      </c>
      <c r="I3" s="1">
        <v>46</v>
      </c>
      <c r="J3" s="1">
        <v>3.4182999999999999</v>
      </c>
      <c r="K3" s="1">
        <v>66.741</v>
      </c>
      <c r="L3">
        <f t="shared" ref="L3:L18" si="1">J3:J26/K3:K26</f>
        <v>5.1217392607242923E-2</v>
      </c>
      <c r="M3">
        <f t="shared" ref="M3:M18" si="2">(L3:L26)^(1/3)</f>
        <v>0.37136914845571861</v>
      </c>
      <c r="N3">
        <f t="shared" ref="N3:N18" si="3">1-((3/10)*(J3:J26/I3:I26)^2)-((3/2)*((J3:J26*E3)/(I3:I26)^2))</f>
        <v>0.978392596147448</v>
      </c>
      <c r="O3">
        <f t="shared" ref="O3:O18" si="4">1-(F3/I3:I26)^3-((9/8)*(1-(F3/I3:I26)^2)*((J3:J26*E3)/I3:I26^2))-((9/35)*(J3:J26/I3:I26)^2)</f>
        <v>0.97532703307098578</v>
      </c>
      <c r="P3">
        <f t="shared" ref="P3:P18" si="5">N3:N26/O3:O26</f>
        <v>1.0031431129995543</v>
      </c>
      <c r="Q3">
        <f t="shared" ref="Q3:Q18" si="6">L3:L26/O3:O26</f>
        <v>5.2513045235684799E-2</v>
      </c>
      <c r="R3">
        <f t="shared" ref="R3:R18" si="7">Q3:Q26^(1/3)</f>
        <v>0.37447463079417054</v>
      </c>
      <c r="S3">
        <f t="shared" ref="S3:S18" si="8">I3:I26+G3</f>
        <v>56.472096530920062</v>
      </c>
      <c r="T3">
        <f t="shared" ref="T3:T18" si="9">(P3:P26*3*K3:K26*J3:J26)/(2*25.0667*S3:S26)</f>
        <v>0.2425079413092992</v>
      </c>
      <c r="U3">
        <f t="shared" ref="U3:U18" si="10">T3:T26*1000</f>
        <v>242.50794130929921</v>
      </c>
    </row>
    <row r="4" spans="1:22">
      <c r="E4" s="1">
        <v>8.2332999999999998</v>
      </c>
      <c r="F4" s="1">
        <v>9.5449999999999999</v>
      </c>
      <c r="G4" s="1">
        <f t="shared" si="0"/>
        <v>10.472096530920062</v>
      </c>
      <c r="I4" s="1">
        <v>47</v>
      </c>
      <c r="J4" s="1">
        <v>3.6373000000000002</v>
      </c>
      <c r="K4" s="1">
        <v>66.971599999999995</v>
      </c>
      <c r="L4">
        <f t="shared" si="1"/>
        <v>5.4311081114980085E-2</v>
      </c>
      <c r="M4">
        <f t="shared" si="2"/>
        <v>0.37870073612536448</v>
      </c>
      <c r="N4">
        <f t="shared" si="3"/>
        <v>0.9778680586138524</v>
      </c>
      <c r="O4">
        <f t="shared" si="4"/>
        <v>0.97546160615490585</v>
      </c>
      <c r="P4">
        <f t="shared" si="5"/>
        <v>1.0024669883917137</v>
      </c>
      <c r="Q4">
        <f t="shared" si="6"/>
        <v>5.5677312948343091E-2</v>
      </c>
      <c r="R4">
        <f t="shared" si="7"/>
        <v>0.38184996563257478</v>
      </c>
      <c r="S4">
        <f t="shared" si="8"/>
        <v>57.472096530920062</v>
      </c>
      <c r="T4">
        <f t="shared" si="9"/>
        <v>0.25425935028264884</v>
      </c>
      <c r="U4">
        <f t="shared" si="10"/>
        <v>254.25935028264885</v>
      </c>
    </row>
    <row r="5" spans="1:22">
      <c r="E5" s="1">
        <v>8.2332999999999998</v>
      </c>
      <c r="F5" s="1">
        <v>9.5449999999999999</v>
      </c>
      <c r="G5" s="1">
        <f t="shared" si="0"/>
        <v>10.472096530920062</v>
      </c>
      <c r="I5" s="1">
        <v>48</v>
      </c>
      <c r="J5" s="1">
        <v>3.7953999999999999</v>
      </c>
      <c r="K5" s="1">
        <v>66.214100000000002</v>
      </c>
      <c r="L5">
        <f t="shared" si="1"/>
        <v>5.7320117618452862E-2</v>
      </c>
      <c r="M5">
        <f t="shared" si="2"/>
        <v>0.38556922066670063</v>
      </c>
      <c r="N5">
        <f t="shared" si="3"/>
        <v>0.97778015686718744</v>
      </c>
      <c r="O5">
        <f t="shared" si="4"/>
        <v>0.97587422017299685</v>
      </c>
      <c r="P5">
        <f t="shared" si="5"/>
        <v>1.0019530556856526</v>
      </c>
      <c r="Q5">
        <f t="shared" si="6"/>
        <v>5.8737198333092058E-2</v>
      </c>
      <c r="R5">
        <f t="shared" si="7"/>
        <v>0.38872076658749444</v>
      </c>
      <c r="S5">
        <f t="shared" si="8"/>
        <v>58.472096530920062</v>
      </c>
      <c r="T5">
        <f t="shared" si="9"/>
        <v>0.25769194148101321</v>
      </c>
      <c r="U5">
        <f t="shared" si="10"/>
        <v>257.6919414810132</v>
      </c>
    </row>
    <row r="6" spans="1:22">
      <c r="E6" s="1">
        <v>8.2332999999999998</v>
      </c>
      <c r="F6" s="1">
        <v>9.5449999999999999</v>
      </c>
      <c r="G6" s="1">
        <f t="shared" si="0"/>
        <v>10.472096530920062</v>
      </c>
      <c r="I6" s="1">
        <v>49</v>
      </c>
      <c r="J6" s="1">
        <v>3.9255</v>
      </c>
      <c r="K6" s="1">
        <v>65.423599999999993</v>
      </c>
      <c r="L6">
        <f t="shared" si="1"/>
        <v>6.0001283940351806E-2</v>
      </c>
      <c r="M6">
        <f t="shared" si="2"/>
        <v>0.39148955657282147</v>
      </c>
      <c r="N6">
        <f t="shared" si="3"/>
        <v>0.97788313461057885</v>
      </c>
      <c r="O6">
        <f t="shared" si="4"/>
        <v>0.97638907118202123</v>
      </c>
      <c r="P6">
        <f t="shared" si="5"/>
        <v>1.0015301926994624</v>
      </c>
      <c r="Q6">
        <f t="shared" si="6"/>
        <v>6.1452228124300866E-2</v>
      </c>
      <c r="R6">
        <f t="shared" si="7"/>
        <v>0.39462010823605081</v>
      </c>
      <c r="S6">
        <f t="shared" si="8"/>
        <v>59.472096530920062</v>
      </c>
      <c r="T6">
        <f t="shared" si="9"/>
        <v>0.25880598356314666</v>
      </c>
      <c r="U6">
        <f t="shared" si="10"/>
        <v>258.80598356314664</v>
      </c>
    </row>
    <row r="7" spans="1:22">
      <c r="E7" s="1">
        <v>8.2332999999999998</v>
      </c>
      <c r="F7" s="1">
        <v>9.5449999999999999</v>
      </c>
      <c r="G7" s="1">
        <f t="shared" si="0"/>
        <v>10.472096530920062</v>
      </c>
      <c r="I7" s="1">
        <v>50</v>
      </c>
      <c r="J7" s="1">
        <v>4.0606999999999998</v>
      </c>
      <c r="K7" s="1">
        <v>64.270899999999997</v>
      </c>
      <c r="L7">
        <f t="shared" si="1"/>
        <v>6.3181004155846585E-2</v>
      </c>
      <c r="M7">
        <f t="shared" si="2"/>
        <v>0.39828642832078154</v>
      </c>
      <c r="N7">
        <f t="shared" si="3"/>
        <v>0.97796150907519996</v>
      </c>
      <c r="O7">
        <f t="shared" si="4"/>
        <v>0.97685047026664107</v>
      </c>
      <c r="P7">
        <f t="shared" si="5"/>
        <v>1.0011373683510185</v>
      </c>
      <c r="Q7">
        <f t="shared" si="6"/>
        <v>6.4678275825163598E-2</v>
      </c>
      <c r="R7">
        <f t="shared" si="7"/>
        <v>0.40140811187153658</v>
      </c>
      <c r="S7">
        <f t="shared" si="8"/>
        <v>60.472096530920062</v>
      </c>
      <c r="T7">
        <f t="shared" si="9"/>
        <v>0.25855207595419677</v>
      </c>
      <c r="U7">
        <f t="shared" si="10"/>
        <v>258.55207595419677</v>
      </c>
    </row>
    <row r="8" spans="1:22">
      <c r="E8" s="1">
        <v>8.2332999999999998</v>
      </c>
      <c r="F8" s="1">
        <v>9.5449999999999999</v>
      </c>
      <c r="G8" s="1">
        <f t="shared" si="0"/>
        <v>10.472096530920062</v>
      </c>
      <c r="I8" s="1">
        <v>51</v>
      </c>
      <c r="J8" s="1">
        <v>4.2022000000000004</v>
      </c>
      <c r="K8" s="1">
        <v>63.414499999999997</v>
      </c>
      <c r="L8">
        <f t="shared" si="1"/>
        <v>6.626560171569594E-2</v>
      </c>
      <c r="M8">
        <f t="shared" si="2"/>
        <v>0.40466537764983362</v>
      </c>
      <c r="N8">
        <f t="shared" si="3"/>
        <v>0.9780105708027681</v>
      </c>
      <c r="O8">
        <f t="shared" si="4"/>
        <v>0.97725820641355199</v>
      </c>
      <c r="P8">
        <f t="shared" si="5"/>
        <v>1.0007698726746714</v>
      </c>
      <c r="Q8">
        <f t="shared" si="6"/>
        <v>6.7807669744605795E-2</v>
      </c>
      <c r="R8">
        <f t="shared" si="7"/>
        <v>0.40778033026428046</v>
      </c>
      <c r="S8">
        <f t="shared" si="8"/>
        <v>61.472096530920062</v>
      </c>
      <c r="T8">
        <f t="shared" si="9"/>
        <v>0.25960651327539896</v>
      </c>
      <c r="U8">
        <f t="shared" si="10"/>
        <v>259.60651327539898</v>
      </c>
    </row>
    <row r="9" spans="1:22">
      <c r="E9" s="1">
        <v>8.2332999999999998</v>
      </c>
      <c r="F9" s="1">
        <v>9.5449999999999999</v>
      </c>
      <c r="G9" s="1">
        <f t="shared" si="0"/>
        <v>10.472096530920062</v>
      </c>
      <c r="I9" s="1">
        <v>52</v>
      </c>
      <c r="J9" s="1">
        <v>4.3093000000000004</v>
      </c>
      <c r="K9" s="1">
        <v>62.3277</v>
      </c>
      <c r="L9">
        <f t="shared" si="1"/>
        <v>6.9139403507589722E-2</v>
      </c>
      <c r="M9">
        <f t="shared" si="2"/>
        <v>0.41043262584477047</v>
      </c>
      <c r="N9">
        <f t="shared" si="3"/>
        <v>0.97825789220340242</v>
      </c>
      <c r="O9">
        <f t="shared" si="4"/>
        <v>0.97778534731440536</v>
      </c>
      <c r="P9">
        <f t="shared" si="5"/>
        <v>1.0004832808042123</v>
      </c>
      <c r="Q9">
        <f t="shared" si="6"/>
        <v>7.0710206179187149E-2</v>
      </c>
      <c r="R9">
        <f t="shared" si="7"/>
        <v>0.41351763422505061</v>
      </c>
      <c r="S9">
        <f t="shared" si="8"/>
        <v>62.472096530920062</v>
      </c>
      <c r="T9">
        <f t="shared" si="9"/>
        <v>0.25739830375834594</v>
      </c>
      <c r="U9">
        <f t="shared" si="10"/>
        <v>257.39830375834595</v>
      </c>
    </row>
    <row r="10" spans="1:22">
      <c r="E10" s="1">
        <v>8.2332999999999998</v>
      </c>
      <c r="F10" s="1">
        <v>9.5449999999999999</v>
      </c>
      <c r="G10" s="1">
        <f t="shared" si="0"/>
        <v>10.472096530920062</v>
      </c>
      <c r="I10" s="1">
        <v>53</v>
      </c>
      <c r="J10" s="1">
        <v>4.4328000000000003</v>
      </c>
      <c r="K10" s="1">
        <v>61.668999999999997</v>
      </c>
      <c r="L10">
        <f t="shared" si="1"/>
        <v>7.1880523439653649E-2</v>
      </c>
      <c r="M10">
        <f t="shared" si="2"/>
        <v>0.41578652493223694</v>
      </c>
      <c r="N10">
        <f t="shared" si="3"/>
        <v>0.97841232712281956</v>
      </c>
      <c r="O10">
        <f t="shared" si="4"/>
        <v>0.97821730420881903</v>
      </c>
      <c r="P10">
        <f t="shared" si="5"/>
        <v>1.0001993656349786</v>
      </c>
      <c r="Q10">
        <f t="shared" si="6"/>
        <v>7.3481140775556536E-2</v>
      </c>
      <c r="R10">
        <f t="shared" si="7"/>
        <v>0.41885010630017666</v>
      </c>
      <c r="S10">
        <f t="shared" si="8"/>
        <v>63.472096530920062</v>
      </c>
      <c r="T10">
        <f t="shared" si="9"/>
        <v>0.25777623135967187</v>
      </c>
      <c r="U10">
        <f t="shared" si="10"/>
        <v>257.7762313596719</v>
      </c>
    </row>
    <row r="11" spans="1:22">
      <c r="E11" s="1">
        <v>8.2332999999999998</v>
      </c>
      <c r="F11" s="1">
        <v>9.5449999999999999</v>
      </c>
      <c r="G11" s="1">
        <f t="shared" si="0"/>
        <v>10.472096530920062</v>
      </c>
      <c r="I11" s="1">
        <v>55</v>
      </c>
      <c r="J11" s="1">
        <v>4.7523</v>
      </c>
      <c r="K11" s="1">
        <v>59.198799999999999</v>
      </c>
      <c r="L11">
        <f t="shared" si="1"/>
        <v>8.0276965073616355E-2</v>
      </c>
      <c r="M11">
        <f t="shared" si="2"/>
        <v>0.43138361790292712</v>
      </c>
      <c r="N11">
        <f t="shared" si="3"/>
        <v>0.97835835571173557</v>
      </c>
      <c r="O11">
        <f t="shared" si="4"/>
        <v>0.97874020462179256</v>
      </c>
      <c r="P11">
        <f t="shared" si="5"/>
        <v>0.99960985672372116</v>
      </c>
      <c r="Q11">
        <f t="shared" si="6"/>
        <v>8.2020708554255417E-2</v>
      </c>
      <c r="R11">
        <f t="shared" si="7"/>
        <v>0.4344847178280894</v>
      </c>
      <c r="S11">
        <f t="shared" si="8"/>
        <v>65.472096530920055</v>
      </c>
      <c r="T11">
        <f t="shared" si="9"/>
        <v>0.25703077728465645</v>
      </c>
      <c r="U11">
        <f t="shared" si="10"/>
        <v>257.03077728465644</v>
      </c>
    </row>
    <row r="12" spans="1:22">
      <c r="E12" s="1">
        <v>8.2332999999999998</v>
      </c>
      <c r="F12" s="1">
        <v>9.5449999999999999</v>
      </c>
      <c r="G12" s="1">
        <f t="shared" si="0"/>
        <v>10.472096530920062</v>
      </c>
      <c r="I12" s="1">
        <v>60</v>
      </c>
      <c r="J12" s="1">
        <v>5.5906000000000002</v>
      </c>
      <c r="K12" s="1">
        <v>54.982999999999997</v>
      </c>
      <c r="L12">
        <f t="shared" si="1"/>
        <v>0.10167870068930397</v>
      </c>
      <c r="M12">
        <f t="shared" si="2"/>
        <v>0.46674176334615908</v>
      </c>
      <c r="N12">
        <f t="shared" si="3"/>
        <v>0.97821664639499994</v>
      </c>
      <c r="O12">
        <f t="shared" si="4"/>
        <v>0.97972144689374041</v>
      </c>
      <c r="P12">
        <f t="shared" si="5"/>
        <v>0.99846405271262406</v>
      </c>
      <c r="Q12">
        <f t="shared" si="6"/>
        <v>0.10378327535003114</v>
      </c>
      <c r="R12">
        <f t="shared" si="7"/>
        <v>0.4699400487135742</v>
      </c>
      <c r="S12">
        <f t="shared" si="8"/>
        <v>70.472096530920055</v>
      </c>
      <c r="T12">
        <f t="shared" si="9"/>
        <v>0.26061306867661843</v>
      </c>
      <c r="U12">
        <f t="shared" si="10"/>
        <v>260.61306867661841</v>
      </c>
    </row>
    <row r="13" spans="1:22">
      <c r="E13" s="1">
        <v>8.2332999999999998</v>
      </c>
      <c r="F13" s="1">
        <v>9.5449999999999999</v>
      </c>
      <c r="G13" s="1">
        <f t="shared" si="0"/>
        <v>10.472096530920062</v>
      </c>
      <c r="I13" s="1">
        <v>65</v>
      </c>
      <c r="J13" s="1">
        <v>6.3909000000000002</v>
      </c>
      <c r="K13" s="1">
        <v>51.755299999999998</v>
      </c>
      <c r="L13">
        <f t="shared" si="1"/>
        <v>0.12348300560522305</v>
      </c>
      <c r="M13">
        <f t="shared" si="2"/>
        <v>0.49796910288951418</v>
      </c>
      <c r="N13">
        <f t="shared" si="3"/>
        <v>0.97841884584662719</v>
      </c>
      <c r="O13">
        <f t="shared" si="4"/>
        <v>0.98063897050095605</v>
      </c>
      <c r="P13">
        <f t="shared" si="5"/>
        <v>0.99773604280360717</v>
      </c>
      <c r="Q13">
        <f t="shared" si="6"/>
        <v>0.12592096512556725</v>
      </c>
      <c r="R13">
        <f t="shared" si="7"/>
        <v>0.50122495004481082</v>
      </c>
      <c r="S13">
        <f t="shared" si="8"/>
        <v>75.472096530920055</v>
      </c>
      <c r="T13">
        <f t="shared" si="9"/>
        <v>0.26166172184445308</v>
      </c>
      <c r="U13">
        <f t="shared" si="10"/>
        <v>261.6617218444531</v>
      </c>
    </row>
    <row r="14" spans="1:22">
      <c r="E14" s="1">
        <v>8.2332999999999998</v>
      </c>
      <c r="F14" s="1">
        <v>9.5449999999999999</v>
      </c>
      <c r="G14" s="1">
        <f t="shared" si="0"/>
        <v>10.472096530920062</v>
      </c>
      <c r="I14" s="1">
        <v>70</v>
      </c>
      <c r="J14" s="1">
        <v>7.2160000000000002</v>
      </c>
      <c r="K14" s="1">
        <v>48.823999999999998</v>
      </c>
      <c r="L14">
        <f t="shared" si="1"/>
        <v>0.1477961658200885</v>
      </c>
      <c r="M14">
        <f t="shared" si="2"/>
        <v>0.52871429883909149</v>
      </c>
      <c r="N14">
        <f t="shared" si="3"/>
        <v>0.97862480897959181</v>
      </c>
      <c r="O14">
        <f t="shared" si="4"/>
        <v>0.9813453296764284</v>
      </c>
      <c r="P14">
        <f t="shared" si="5"/>
        <v>0.99722776415746162</v>
      </c>
      <c r="Q14">
        <f t="shared" si="6"/>
        <v>0.15060566484666535</v>
      </c>
      <c r="R14">
        <f t="shared" si="7"/>
        <v>0.53204345194897562</v>
      </c>
      <c r="S14">
        <f t="shared" si="8"/>
        <v>80.472096530920055</v>
      </c>
      <c r="T14">
        <f t="shared" si="9"/>
        <v>0.26126006008066616</v>
      </c>
      <c r="U14">
        <f t="shared" si="10"/>
        <v>261.26006008066616</v>
      </c>
    </row>
    <row r="15" spans="1:22">
      <c r="E15" s="1">
        <v>8.2332999999999998</v>
      </c>
      <c r="F15" s="1">
        <v>9.5449999999999999</v>
      </c>
      <c r="G15" s="1">
        <f t="shared" si="0"/>
        <v>10.472096530920062</v>
      </c>
      <c r="I15" s="1">
        <v>75</v>
      </c>
      <c r="J15" s="1">
        <v>8.0130999999999997</v>
      </c>
      <c r="K15" s="1">
        <v>45.497500000000002</v>
      </c>
      <c r="L15">
        <f t="shared" si="1"/>
        <v>0.1761217649321391</v>
      </c>
      <c r="M15">
        <f t="shared" si="2"/>
        <v>0.56053707502330419</v>
      </c>
      <c r="N15">
        <f t="shared" si="3"/>
        <v>0.97898234385280003</v>
      </c>
      <c r="O15">
        <f t="shared" si="4"/>
        <v>0.98202224602198007</v>
      </c>
      <c r="P15">
        <f t="shared" si="5"/>
        <v>0.99690444673581047</v>
      </c>
      <c r="Q15">
        <f t="shared" si="6"/>
        <v>0.17934600325560962</v>
      </c>
      <c r="R15">
        <f t="shared" si="7"/>
        <v>0.56393697136944698</v>
      </c>
      <c r="S15">
        <f t="shared" si="8"/>
        <v>85.472096530920055</v>
      </c>
      <c r="T15">
        <f t="shared" si="9"/>
        <v>0.2544552221561579</v>
      </c>
      <c r="U15">
        <f t="shared" si="10"/>
        <v>254.4552221561579</v>
      </c>
    </row>
    <row r="16" spans="1:22">
      <c r="E16" s="1">
        <v>8.2332999999999998</v>
      </c>
      <c r="F16" s="1">
        <v>9.5449999999999999</v>
      </c>
      <c r="G16" s="1">
        <f t="shared" si="0"/>
        <v>10.472096530920062</v>
      </c>
      <c r="I16" s="1">
        <v>80</v>
      </c>
      <c r="J16" s="1">
        <v>8.9995999999999992</v>
      </c>
      <c r="K16" s="1">
        <v>42.500399999999999</v>
      </c>
      <c r="L16">
        <f t="shared" si="1"/>
        <v>0.21175330114540097</v>
      </c>
      <c r="M16">
        <f t="shared" si="2"/>
        <v>0.59604181682764557</v>
      </c>
      <c r="N16">
        <f t="shared" si="3"/>
        <v>0.97883711717687505</v>
      </c>
      <c r="O16">
        <f t="shared" si="4"/>
        <v>0.98220800977596356</v>
      </c>
      <c r="P16">
        <f t="shared" si="5"/>
        <v>0.99656804611086669</v>
      </c>
      <c r="Q16">
        <f t="shared" si="6"/>
        <v>0.21558905958596364</v>
      </c>
      <c r="R16">
        <f t="shared" si="7"/>
        <v>0.59961925806036431</v>
      </c>
      <c r="S16">
        <f t="shared" si="8"/>
        <v>90.472096530920055</v>
      </c>
      <c r="T16">
        <f t="shared" si="9"/>
        <v>0.25211728615352907</v>
      </c>
      <c r="U16">
        <f t="shared" si="10"/>
        <v>252.11728615352908</v>
      </c>
    </row>
    <row r="17" spans="5:21">
      <c r="E17" s="1">
        <v>8.2332999999999998</v>
      </c>
      <c r="F17" s="1">
        <v>9.5449999999999999</v>
      </c>
      <c r="G17" s="1">
        <f t="shared" si="0"/>
        <v>10.472096530920062</v>
      </c>
      <c r="I17" s="1">
        <v>85</v>
      </c>
      <c r="J17" s="1">
        <v>9.8971999999999998</v>
      </c>
      <c r="K17" s="1">
        <v>39.6021</v>
      </c>
      <c r="L17">
        <f t="shared" si="1"/>
        <v>0.24991603980596988</v>
      </c>
      <c r="M17">
        <f t="shared" si="2"/>
        <v>0.62988999490735165</v>
      </c>
      <c r="N17">
        <f t="shared" si="3"/>
        <v>0.97901504560664365</v>
      </c>
      <c r="O17">
        <f t="shared" si="4"/>
        <v>0.98256947299360076</v>
      </c>
      <c r="P17">
        <f t="shared" si="5"/>
        <v>0.99638251799526423</v>
      </c>
      <c r="Q17">
        <f t="shared" si="6"/>
        <v>0.25434948537994884</v>
      </c>
      <c r="R17">
        <f t="shared" si="7"/>
        <v>0.63359287931693797</v>
      </c>
      <c r="S17">
        <f t="shared" si="8"/>
        <v>95.472096530920055</v>
      </c>
      <c r="T17">
        <f t="shared" si="9"/>
        <v>0.24477907969936161</v>
      </c>
      <c r="U17">
        <f t="shared" si="10"/>
        <v>244.7790796993616</v>
      </c>
    </row>
    <row r="18" spans="5:21">
      <c r="E18" s="1">
        <v>8.2332999999999998</v>
      </c>
      <c r="F18" s="1">
        <v>9.5449999999999999</v>
      </c>
      <c r="G18" s="1">
        <f t="shared" si="0"/>
        <v>10.472096530920062</v>
      </c>
      <c r="I18" s="1">
        <v>90</v>
      </c>
      <c r="J18" s="1">
        <v>10.9841</v>
      </c>
      <c r="K18" s="1">
        <v>37.4283</v>
      </c>
      <c r="L18">
        <f t="shared" si="1"/>
        <v>0.29347044883149914</v>
      </c>
      <c r="M18">
        <f t="shared" si="2"/>
        <v>0.66454050744708992</v>
      </c>
      <c r="N18">
        <f t="shared" si="3"/>
        <v>0.97878417016814812</v>
      </c>
      <c r="O18">
        <f t="shared" si="4"/>
        <v>0.98255774376396898</v>
      </c>
      <c r="P18">
        <f t="shared" si="5"/>
        <v>0.99615943834367926</v>
      </c>
      <c r="Q18">
        <f t="shared" si="6"/>
        <v>0.2986801037334218</v>
      </c>
      <c r="R18">
        <f t="shared" si="7"/>
        <v>0.66844974891920672</v>
      </c>
      <c r="S18">
        <f t="shared" si="8"/>
        <v>100.47209653092006</v>
      </c>
      <c r="T18">
        <f t="shared" si="9"/>
        <v>0.24391699727618393</v>
      </c>
      <c r="U18">
        <f t="shared" si="10"/>
        <v>243.91699727618393</v>
      </c>
    </row>
    <row r="19" spans="5:21">
      <c r="E19" s="1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2F7F-9ECB-4190-8C0D-5A4FB99CCBFC}">
  <dimension ref="A1:V17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8.16406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3" width="11.25" bestFit="1" customWidth="1"/>
    <col min="14" max="18" width="12.33203125" bestFit="1" customWidth="1"/>
    <col min="19" max="19" width="9.16406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62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61</v>
      </c>
      <c r="B2" s="2">
        <v>3.8666999999999998</v>
      </c>
      <c r="C2" s="2">
        <v>25.033300000000001</v>
      </c>
      <c r="D2" s="2">
        <v>45</v>
      </c>
      <c r="E2" s="2">
        <v>8.1433</v>
      </c>
      <c r="F2" s="2">
        <v>9.5399999999999991</v>
      </c>
      <c r="G2" s="2">
        <f>0.05925/0.00687</f>
        <v>8.6244541484716155</v>
      </c>
      <c r="H2" s="2" t="s">
        <v>9</v>
      </c>
      <c r="I2" s="2">
        <v>45</v>
      </c>
      <c r="J2" s="2">
        <v>3.1530999999999998</v>
      </c>
      <c r="K2" s="2">
        <v>64.954499999999996</v>
      </c>
      <c r="L2" s="3">
        <f>J2:J25/K2:K25</f>
        <v>4.8543211016942631E-2</v>
      </c>
      <c r="M2" s="3">
        <f>(L2:L25)^(1/3)</f>
        <v>0.3647899235667873</v>
      </c>
      <c r="N2" s="3">
        <f>1-((3/10)*(J2:J25/I2:I25)^2)-((3/2)*((J2:J25*E2)/(I2:I25)^2))</f>
        <v>0.97950737247999997</v>
      </c>
      <c r="O2" s="3">
        <f>1-(F2/I2:I25)^3-((9/8)*(1-(F2/I2:I25)^2)*((J2:J25*E2)/I2:I25^2))-((9/35)*(J2:J25/I2:I25)^2)</f>
        <v>0.97558570835943426</v>
      </c>
      <c r="P2" s="3">
        <f>N2:N25/O2:O25</f>
        <v>1.0040198048074735</v>
      </c>
      <c r="Q2" s="3">
        <f>L2:L25/O2:O25</f>
        <v>4.975801777434187E-2</v>
      </c>
      <c r="R2" s="3">
        <f>Q2:Q25^(1/3)</f>
        <v>0.36780787509503154</v>
      </c>
      <c r="S2" s="3">
        <f>I2:I25+G2</f>
        <v>53.624454148471614</v>
      </c>
      <c r="T2" s="3">
        <f>(P2:P25*3*K2:K25*J2:J25)/(2*25.0333*S2:S25)</f>
        <v>0.22977328790743518</v>
      </c>
      <c r="U2" s="3">
        <f>T2:T25*1000</f>
        <v>229.77328790743516</v>
      </c>
      <c r="V2">
        <f>AVERAGE(U3:U17)</f>
        <v>227.98583203437769</v>
      </c>
    </row>
    <row r="3" spans="1:22">
      <c r="E3" s="1">
        <v>8.1433</v>
      </c>
      <c r="F3" s="1">
        <v>9.5399999999999991</v>
      </c>
      <c r="G3" s="1">
        <f t="shared" ref="G3:G17" si="0">0.05925/0.00687</f>
        <v>8.6244541484716155</v>
      </c>
      <c r="I3" s="1">
        <v>46</v>
      </c>
      <c r="J3" s="1">
        <v>3.2743000000000002</v>
      </c>
      <c r="K3" s="1">
        <v>65.366600000000005</v>
      </c>
      <c r="L3">
        <f t="shared" ref="L3:L17" si="1">J3:J26/K3:K26</f>
        <v>5.0091331046742522E-2</v>
      </c>
      <c r="M3">
        <f t="shared" ref="M3:M17" si="2">(L3:L26)^(1/3)</f>
        <v>0.36862732439409879</v>
      </c>
      <c r="N3">
        <f t="shared" ref="N3:N17" si="3">1-((3/10)*(J3:J26/I3:I26)^2)-((3/2)*((J3:J26*E3)/(I3:I26)^2))</f>
        <v>0.97957858084499061</v>
      </c>
      <c r="O3">
        <f t="shared" ref="O3:O17" si="4">1-(F3/I3:I26)^3-((9/8)*(1-(F3/I3:I26)^2)*((J3:J26*E3)/I3:I26^2))-((9/35)*(J3:J26/I3:I26)^2)</f>
        <v>0.97621066873644868</v>
      </c>
      <c r="P3">
        <f t="shared" ref="P3:P17" si="5">N3:N26/O3:O26</f>
        <v>1.0034499849432101</v>
      </c>
      <c r="Q3">
        <f t="shared" ref="Q3:Q17" si="6">L3:L26/O3:O26</f>
        <v>5.1312009437038709E-2</v>
      </c>
      <c r="R3">
        <f t="shared" ref="R3:R17" si="7">Q3:Q26^(1/3)</f>
        <v>0.37159769162931428</v>
      </c>
      <c r="S3">
        <f t="shared" ref="S3:S17" si="8">I3:I26+G3</f>
        <v>54.624454148471614</v>
      </c>
      <c r="T3">
        <f t="shared" ref="T3:T17" si="9">(P3:P26*3*K3:K26*J3:J26)/(2*25.0333*S3:S26)</f>
        <v>0.23558961355228195</v>
      </c>
      <c r="U3">
        <f t="shared" ref="U3:U17" si="10">T3:T26*1000</f>
        <v>235.58961355228195</v>
      </c>
    </row>
    <row r="4" spans="1:22">
      <c r="E4" s="1">
        <v>8.1433</v>
      </c>
      <c r="F4" s="1">
        <v>9.5399999999999991</v>
      </c>
      <c r="G4" s="1">
        <f t="shared" si="0"/>
        <v>8.6244541484716155</v>
      </c>
      <c r="I4" s="1">
        <v>47</v>
      </c>
      <c r="J4" s="1">
        <v>3.4538000000000002</v>
      </c>
      <c r="K4" s="1">
        <v>63.133600000000001</v>
      </c>
      <c r="L4">
        <f t="shared" si="1"/>
        <v>5.4706210322237291E-2</v>
      </c>
      <c r="M4">
        <f t="shared" si="2"/>
        <v>0.37961690459297687</v>
      </c>
      <c r="N4">
        <f t="shared" si="3"/>
        <v>0.97928174982254423</v>
      </c>
      <c r="O4">
        <f t="shared" si="4"/>
        <v>0.97651508262183773</v>
      </c>
      <c r="P4">
        <f t="shared" si="5"/>
        <v>1.0028332047809014</v>
      </c>
      <c r="Q4">
        <f t="shared" si="6"/>
        <v>5.6021879534473767E-2</v>
      </c>
      <c r="R4">
        <f t="shared" si="7"/>
        <v>0.38263605630931991</v>
      </c>
      <c r="S4">
        <f t="shared" si="8"/>
        <v>55.624454148471614</v>
      </c>
      <c r="T4">
        <f t="shared" si="9"/>
        <v>0.23555581932359698</v>
      </c>
      <c r="U4">
        <f t="shared" si="10"/>
        <v>235.55581932359698</v>
      </c>
    </row>
    <row r="5" spans="1:22">
      <c r="E5" s="1">
        <v>8.1433</v>
      </c>
      <c r="F5" s="1">
        <v>9.5399999999999991</v>
      </c>
      <c r="G5" s="1">
        <f t="shared" si="0"/>
        <v>8.6244541484716155</v>
      </c>
      <c r="I5" s="1">
        <v>48</v>
      </c>
      <c r="J5" s="1">
        <v>3.6118999999999999</v>
      </c>
      <c r="K5" s="1">
        <v>61.9084</v>
      </c>
      <c r="L5">
        <f t="shared" si="1"/>
        <v>5.8342648170522898E-2</v>
      </c>
      <c r="M5">
        <f t="shared" si="2"/>
        <v>0.38784843730175839</v>
      </c>
      <c r="N5">
        <f t="shared" si="3"/>
        <v>0.97915237656770826</v>
      </c>
      <c r="O5">
        <f t="shared" si="4"/>
        <v>0.97689865606609194</v>
      </c>
      <c r="P5">
        <f t="shared" si="5"/>
        <v>1.0023070156639298</v>
      </c>
      <c r="Q5">
        <f t="shared" si="6"/>
        <v>5.9722313884088031E-2</v>
      </c>
      <c r="R5">
        <f t="shared" si="7"/>
        <v>0.39088188312154049</v>
      </c>
      <c r="S5">
        <f t="shared" si="8"/>
        <v>56.624454148471614</v>
      </c>
      <c r="T5">
        <f t="shared" si="9"/>
        <v>0.23716751031473585</v>
      </c>
      <c r="U5">
        <f t="shared" si="10"/>
        <v>237.16751031473584</v>
      </c>
    </row>
    <row r="6" spans="1:22">
      <c r="E6" s="1">
        <v>8.1433</v>
      </c>
      <c r="F6" s="1">
        <v>9.5399999999999991</v>
      </c>
      <c r="G6" s="1">
        <f t="shared" si="0"/>
        <v>8.6244541484716155</v>
      </c>
      <c r="I6" s="1">
        <v>49</v>
      </c>
      <c r="J6" s="1">
        <v>3.7073999999999998</v>
      </c>
      <c r="K6" s="1">
        <v>60.7622</v>
      </c>
      <c r="L6">
        <f t="shared" si="1"/>
        <v>6.1014907294337596E-2</v>
      </c>
      <c r="M6">
        <f t="shared" si="2"/>
        <v>0.39368178265038217</v>
      </c>
      <c r="N6">
        <f t="shared" si="3"/>
        <v>0.97942142854727199</v>
      </c>
      <c r="O6">
        <f t="shared" si="4"/>
        <v>0.97753826676980526</v>
      </c>
      <c r="P6">
        <f t="shared" si="5"/>
        <v>1.0019264327970396</v>
      </c>
      <c r="Q6">
        <f t="shared" si="6"/>
        <v>6.2416899029391792E-2</v>
      </c>
      <c r="R6">
        <f t="shared" si="7"/>
        <v>0.39667429888990635</v>
      </c>
      <c r="S6">
        <f t="shared" si="8"/>
        <v>57.624454148471614</v>
      </c>
      <c r="T6">
        <f t="shared" si="9"/>
        <v>0.23469568247914546</v>
      </c>
      <c r="U6">
        <f t="shared" si="10"/>
        <v>234.69568247914546</v>
      </c>
    </row>
    <row r="7" spans="1:22">
      <c r="E7" s="1">
        <v>8.1433</v>
      </c>
      <c r="F7" s="1">
        <v>9.5399999999999991</v>
      </c>
      <c r="G7" s="1">
        <f t="shared" si="0"/>
        <v>8.6244541484716155</v>
      </c>
      <c r="I7" s="1">
        <v>50</v>
      </c>
      <c r="J7" s="1">
        <v>3.9247999999999998</v>
      </c>
      <c r="K7" s="1">
        <v>60.169400000000003</v>
      </c>
      <c r="L7">
        <f t="shared" si="1"/>
        <v>6.5229169644370727E-2</v>
      </c>
      <c r="M7">
        <f t="shared" si="2"/>
        <v>0.40254454894562708</v>
      </c>
      <c r="N7">
        <f t="shared" si="3"/>
        <v>0.97897501909119999</v>
      </c>
      <c r="O7">
        <f t="shared" si="4"/>
        <v>0.97761079189887079</v>
      </c>
      <c r="P7">
        <f t="shared" si="5"/>
        <v>1.0013954706756862</v>
      </c>
      <c r="Q7">
        <f t="shared" si="6"/>
        <v>6.6723045801972261E-2</v>
      </c>
      <c r="R7">
        <f t="shared" si="7"/>
        <v>0.40559440392822949</v>
      </c>
      <c r="S7">
        <f t="shared" si="8"/>
        <v>58.624454148471614</v>
      </c>
      <c r="T7">
        <f t="shared" si="9"/>
        <v>0.24170919804050936</v>
      </c>
      <c r="U7">
        <f t="shared" si="10"/>
        <v>241.70919804050936</v>
      </c>
    </row>
    <row r="8" spans="1:22">
      <c r="E8" s="1">
        <v>8.1433</v>
      </c>
      <c r="F8" s="1">
        <v>9.5399999999999991</v>
      </c>
      <c r="G8" s="1">
        <f t="shared" si="0"/>
        <v>8.6244541484716155</v>
      </c>
      <c r="I8" s="1">
        <v>51</v>
      </c>
      <c r="J8" s="1">
        <v>4.0713999999999997</v>
      </c>
      <c r="K8" s="1">
        <v>60.2879</v>
      </c>
      <c r="L8">
        <f t="shared" si="1"/>
        <v>6.7532622632402187E-2</v>
      </c>
      <c r="M8">
        <f t="shared" si="2"/>
        <v>0.40722822559022448</v>
      </c>
      <c r="N8">
        <f t="shared" si="3"/>
        <v>0.97896776746712799</v>
      </c>
      <c r="O8">
        <f t="shared" si="4"/>
        <v>0.97797738102427501</v>
      </c>
      <c r="P8">
        <f t="shared" si="5"/>
        <v>1.0010126884957358</v>
      </c>
      <c r="Q8">
        <f t="shared" si="6"/>
        <v>6.905335843419258E-2</v>
      </c>
      <c r="R8">
        <f t="shared" si="7"/>
        <v>0.41026229188141877</v>
      </c>
      <c r="S8">
        <f t="shared" si="8"/>
        <v>59.624454148471614</v>
      </c>
      <c r="T8">
        <f t="shared" si="9"/>
        <v>0.24692340099297064</v>
      </c>
      <c r="U8">
        <f t="shared" si="10"/>
        <v>246.92340099297064</v>
      </c>
    </row>
    <row r="9" spans="1:22">
      <c r="E9" s="1">
        <v>8.1433</v>
      </c>
      <c r="F9" s="1">
        <v>9.5399999999999991</v>
      </c>
      <c r="G9" s="1">
        <f t="shared" si="0"/>
        <v>8.6244541484716155</v>
      </c>
      <c r="I9" s="1">
        <v>52</v>
      </c>
      <c r="J9" s="1">
        <v>4.1603000000000003</v>
      </c>
      <c r="K9" s="1">
        <v>59.082500000000003</v>
      </c>
      <c r="L9">
        <f t="shared" si="1"/>
        <v>7.0415097533110482E-2</v>
      </c>
      <c r="M9">
        <f t="shared" si="2"/>
        <v>0.41294156089708667</v>
      </c>
      <c r="N9">
        <f t="shared" si="3"/>
        <v>0.97928613708875734</v>
      </c>
      <c r="O9">
        <f t="shared" si="4"/>
        <v>0.97855830323569781</v>
      </c>
      <c r="P9">
        <f t="shared" si="5"/>
        <v>1.0007437817968055</v>
      </c>
      <c r="Q9">
        <f t="shared" si="6"/>
        <v>7.1957999130226727E-2</v>
      </c>
      <c r="R9">
        <f t="shared" si="7"/>
        <v>0.41593585505174013</v>
      </c>
      <c r="S9">
        <f t="shared" si="8"/>
        <v>60.624454148471614</v>
      </c>
      <c r="T9">
        <f t="shared" si="9"/>
        <v>0.2431261799740598</v>
      </c>
      <c r="U9">
        <f t="shared" si="10"/>
        <v>243.1261799740598</v>
      </c>
    </row>
    <row r="10" spans="1:22">
      <c r="E10" s="1">
        <v>8.1433</v>
      </c>
      <c r="F10" s="1">
        <v>9.5399999999999991</v>
      </c>
      <c r="G10" s="1">
        <f t="shared" si="0"/>
        <v>8.6244541484716155</v>
      </c>
      <c r="I10" s="1">
        <v>55</v>
      </c>
      <c r="J10" s="1">
        <v>4.5259</v>
      </c>
      <c r="K10" s="1">
        <v>54.102699999999999</v>
      </c>
      <c r="L10">
        <f t="shared" si="1"/>
        <v>8.3653865703560079E-2</v>
      </c>
      <c r="M10">
        <f t="shared" si="2"/>
        <v>0.43734953751219569</v>
      </c>
      <c r="N10">
        <f t="shared" si="3"/>
        <v>0.97969296745520662</v>
      </c>
      <c r="O10">
        <f t="shared" si="4"/>
        <v>0.97974581980338804</v>
      </c>
      <c r="P10">
        <f t="shared" si="5"/>
        <v>0.99994605504089618</v>
      </c>
      <c r="Q10">
        <f t="shared" si="6"/>
        <v>8.5383233092382521E-2</v>
      </c>
      <c r="R10">
        <f t="shared" si="7"/>
        <v>0.44034276509653703</v>
      </c>
      <c r="S10">
        <f t="shared" si="8"/>
        <v>63.624454148471614</v>
      </c>
      <c r="T10">
        <f t="shared" si="9"/>
        <v>0.23059482153186089</v>
      </c>
      <c r="U10">
        <f t="shared" si="10"/>
        <v>230.5948215318609</v>
      </c>
    </row>
    <row r="11" spans="1:22">
      <c r="E11" s="1">
        <v>8.1433</v>
      </c>
      <c r="F11" s="1">
        <v>9.5399999999999991</v>
      </c>
      <c r="G11" s="1">
        <f t="shared" si="0"/>
        <v>8.6244541484716155</v>
      </c>
      <c r="I11" s="1">
        <v>60</v>
      </c>
      <c r="J11" s="1">
        <v>5.2817999999999996</v>
      </c>
      <c r="K11" s="1">
        <v>51.948700000000002</v>
      </c>
      <c r="L11">
        <f t="shared" si="1"/>
        <v>0.10167338162456423</v>
      </c>
      <c r="M11">
        <f t="shared" si="2"/>
        <v>0.46673362439824034</v>
      </c>
      <c r="N11">
        <f t="shared" si="3"/>
        <v>0.979753848255</v>
      </c>
      <c r="O11">
        <f t="shared" si="4"/>
        <v>0.98088642573067308</v>
      </c>
      <c r="P11">
        <f t="shared" si="5"/>
        <v>0.99884535309495248</v>
      </c>
      <c r="Q11">
        <f t="shared" si="6"/>
        <v>0.10365459135478056</v>
      </c>
      <c r="R11">
        <f t="shared" si="7"/>
        <v>0.46974573746115883</v>
      </c>
      <c r="S11">
        <f t="shared" si="8"/>
        <v>68.624454148471614</v>
      </c>
      <c r="T11">
        <f t="shared" si="9"/>
        <v>0.23930355023694294</v>
      </c>
      <c r="U11">
        <f t="shared" si="10"/>
        <v>239.30355023694295</v>
      </c>
    </row>
    <row r="12" spans="1:22">
      <c r="E12" s="1">
        <v>8.1433</v>
      </c>
      <c r="F12" s="1">
        <v>9.5399999999999991</v>
      </c>
      <c r="G12" s="1">
        <f t="shared" si="0"/>
        <v>8.6244541484716155</v>
      </c>
      <c r="I12" s="1">
        <v>65</v>
      </c>
      <c r="J12" s="1">
        <v>5.8780000000000001</v>
      </c>
      <c r="K12" s="1">
        <v>47.364100000000001</v>
      </c>
      <c r="L12">
        <f t="shared" si="1"/>
        <v>0.12410243201074231</v>
      </c>
      <c r="M12">
        <f t="shared" si="2"/>
        <v>0.49880036674297529</v>
      </c>
      <c r="N12">
        <f t="shared" si="3"/>
        <v>0.98055272395266269</v>
      </c>
      <c r="O12">
        <f t="shared" si="4"/>
        <v>0.98226465394358342</v>
      </c>
      <c r="P12">
        <f t="shared" si="5"/>
        <v>0.99825716014106003</v>
      </c>
      <c r="Q12">
        <f t="shared" si="6"/>
        <v>0.12634317188600594</v>
      </c>
      <c r="R12">
        <f t="shared" si="7"/>
        <v>0.50178451925298928</v>
      </c>
      <c r="S12">
        <f t="shared" si="8"/>
        <v>73.624454148471614</v>
      </c>
      <c r="T12">
        <f t="shared" si="9"/>
        <v>0.22618946436139617</v>
      </c>
      <c r="U12">
        <f t="shared" si="10"/>
        <v>226.18946436139618</v>
      </c>
    </row>
    <row r="13" spans="1:22">
      <c r="E13" s="1">
        <v>8.1433</v>
      </c>
      <c r="F13" s="1">
        <v>9.5399999999999991</v>
      </c>
      <c r="G13" s="1">
        <f t="shared" si="0"/>
        <v>8.6244541484716155</v>
      </c>
      <c r="I13" s="1">
        <v>70</v>
      </c>
      <c r="J13" s="1">
        <v>6.5465999999999998</v>
      </c>
      <c r="K13" s="1">
        <v>42.463299999999997</v>
      </c>
      <c r="L13">
        <f t="shared" si="1"/>
        <v>0.15417077806011309</v>
      </c>
      <c r="M13">
        <f t="shared" si="2"/>
        <v>0.53620890402980359</v>
      </c>
      <c r="N13">
        <f t="shared" si="3"/>
        <v>0.98105637078816321</v>
      </c>
      <c r="O13">
        <f t="shared" si="4"/>
        <v>0.98320713543965987</v>
      </c>
      <c r="P13">
        <f t="shared" si="5"/>
        <v>0.99781250097362761</v>
      </c>
      <c r="Q13">
        <f t="shared" si="6"/>
        <v>0.15680396582066369</v>
      </c>
      <c r="R13">
        <f t="shared" si="7"/>
        <v>0.53924444610888778</v>
      </c>
      <c r="S13">
        <f t="shared" si="8"/>
        <v>78.624454148471614</v>
      </c>
      <c r="T13">
        <f t="shared" si="9"/>
        <v>0.21139465415358422</v>
      </c>
      <c r="U13">
        <f t="shared" si="10"/>
        <v>211.39465415358421</v>
      </c>
    </row>
    <row r="14" spans="1:22">
      <c r="E14" s="1">
        <v>8.1433</v>
      </c>
      <c r="F14" s="1">
        <v>9.5399999999999991</v>
      </c>
      <c r="G14" s="1">
        <f t="shared" si="0"/>
        <v>8.6244541484716155</v>
      </c>
      <c r="I14" s="1">
        <v>75</v>
      </c>
      <c r="J14" s="1">
        <v>7.3567999999999998</v>
      </c>
      <c r="K14" s="1">
        <v>40.625500000000002</v>
      </c>
      <c r="L14">
        <f t="shared" si="1"/>
        <v>0.18108823276021216</v>
      </c>
      <c r="M14">
        <f t="shared" si="2"/>
        <v>0.56575718332162939</v>
      </c>
      <c r="N14">
        <f t="shared" si="3"/>
        <v>0.98113783181653336</v>
      </c>
      <c r="O14">
        <f t="shared" si="4"/>
        <v>0.98367988915796312</v>
      </c>
      <c r="P14">
        <f t="shared" si="5"/>
        <v>0.99741576770100915</v>
      </c>
      <c r="Q14">
        <f t="shared" si="6"/>
        <v>0.18409264513400284</v>
      </c>
      <c r="R14">
        <f t="shared" si="7"/>
        <v>0.56886884025659457</v>
      </c>
      <c r="S14">
        <f t="shared" si="8"/>
        <v>83.624454148471614</v>
      </c>
      <c r="T14">
        <f t="shared" si="9"/>
        <v>0.21360123398540912</v>
      </c>
      <c r="U14">
        <f t="shared" si="10"/>
        <v>213.60123398540912</v>
      </c>
    </row>
    <row r="15" spans="1:22">
      <c r="E15" s="1">
        <v>8.1433</v>
      </c>
      <c r="F15" s="1">
        <v>9.5399999999999991</v>
      </c>
      <c r="G15" s="1">
        <f t="shared" si="0"/>
        <v>8.6244541484716155</v>
      </c>
      <c r="I15" s="1">
        <v>80</v>
      </c>
      <c r="J15" s="1">
        <v>8.2889999999999997</v>
      </c>
      <c r="K15" s="1">
        <v>37.799599999999998</v>
      </c>
      <c r="L15">
        <f t="shared" si="1"/>
        <v>0.21928803479401898</v>
      </c>
      <c r="M15">
        <f t="shared" si="2"/>
        <v>0.60302915792880984</v>
      </c>
      <c r="N15">
        <f t="shared" si="3"/>
        <v>0.98095906611718753</v>
      </c>
      <c r="O15">
        <f t="shared" si="4"/>
        <v>0.98384715609605444</v>
      </c>
      <c r="P15">
        <f t="shared" si="5"/>
        <v>0.99706449323863777</v>
      </c>
      <c r="Q15">
        <f t="shared" si="6"/>
        <v>0.22288831495347594</v>
      </c>
      <c r="R15">
        <f t="shared" si="7"/>
        <v>0.60631144602722375</v>
      </c>
      <c r="S15">
        <f t="shared" si="8"/>
        <v>88.624454148471614</v>
      </c>
      <c r="T15">
        <f t="shared" si="9"/>
        <v>0.21121860803659112</v>
      </c>
      <c r="U15">
        <f t="shared" si="10"/>
        <v>211.21860803659112</v>
      </c>
    </row>
    <row r="16" spans="1:22">
      <c r="E16" s="1">
        <v>8.1433</v>
      </c>
      <c r="F16" s="1">
        <v>9.5399999999999991</v>
      </c>
      <c r="G16" s="1">
        <f t="shared" si="0"/>
        <v>8.6244541484716155</v>
      </c>
      <c r="I16" s="1">
        <v>85</v>
      </c>
      <c r="J16" s="1">
        <v>9.1256000000000004</v>
      </c>
      <c r="K16" s="1">
        <v>35.131799999999998</v>
      </c>
      <c r="L16">
        <f t="shared" si="1"/>
        <v>0.2597532719644311</v>
      </c>
      <c r="M16">
        <f t="shared" si="2"/>
        <v>0.63804847589497682</v>
      </c>
      <c r="N16">
        <f t="shared" si="3"/>
        <v>0.98111394874352942</v>
      </c>
      <c r="O16">
        <f t="shared" si="4"/>
        <v>0.98419693534889652</v>
      </c>
      <c r="P16">
        <f t="shared" si="5"/>
        <v>0.99686751045991195</v>
      </c>
      <c r="Q16">
        <f t="shared" si="6"/>
        <v>0.26392408128394435</v>
      </c>
      <c r="R16">
        <f t="shared" si="7"/>
        <v>0.64144536720268097</v>
      </c>
      <c r="S16">
        <f t="shared" si="8"/>
        <v>93.624454148471614</v>
      </c>
      <c r="T16">
        <f t="shared" si="9"/>
        <v>0.20454229688212372</v>
      </c>
      <c r="U16">
        <f t="shared" si="10"/>
        <v>204.54229688212371</v>
      </c>
    </row>
    <row r="17" spans="5:21">
      <c r="E17" s="1">
        <v>8.1433</v>
      </c>
      <c r="F17" s="1">
        <v>9.5399999999999991</v>
      </c>
      <c r="G17" s="1">
        <f t="shared" si="0"/>
        <v>8.6244541484716155</v>
      </c>
      <c r="I17" s="1">
        <v>90</v>
      </c>
      <c r="J17" s="1">
        <v>10.426600000000001</v>
      </c>
      <c r="K17" s="1">
        <v>32.977899999999998</v>
      </c>
      <c r="L17">
        <f t="shared" si="1"/>
        <v>0.31616931338866333</v>
      </c>
      <c r="M17">
        <f t="shared" si="2"/>
        <v>0.68125008901465556</v>
      </c>
      <c r="N17">
        <f t="shared" si="3"/>
        <v>0.98025005013111111</v>
      </c>
      <c r="O17">
        <f t="shared" si="4"/>
        <v>0.98369761886988816</v>
      </c>
      <c r="P17">
        <f t="shared" si="5"/>
        <v>0.99649529624485855</v>
      </c>
      <c r="Q17">
        <f t="shared" si="6"/>
        <v>0.32140904615779337</v>
      </c>
      <c r="R17">
        <f t="shared" si="7"/>
        <v>0.68499284000386673</v>
      </c>
      <c r="S17">
        <f t="shared" si="8"/>
        <v>98.624454148471614</v>
      </c>
      <c r="T17">
        <f t="shared" si="9"/>
        <v>0.20817544665045737</v>
      </c>
      <c r="U17">
        <f t="shared" si="10"/>
        <v>208.17544665045736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67A7-8E4A-4BFA-AFB5-6902CB71FF04}">
  <dimension ref="A1:V17"/>
  <sheetViews>
    <sheetView topLeftCell="J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64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63</v>
      </c>
      <c r="B2" s="2">
        <v>3.89</v>
      </c>
      <c r="C2" s="2">
        <v>25.09</v>
      </c>
      <c r="D2" s="2">
        <v>45</v>
      </c>
      <c r="E2" s="2">
        <v>8.1549999999999994</v>
      </c>
      <c r="F2" s="2">
        <v>9.5274999999999999</v>
      </c>
      <c r="G2" s="2">
        <f>0.05908/0.00689</f>
        <v>8.5747460087082725</v>
      </c>
      <c r="H2" s="2" t="s">
        <v>9</v>
      </c>
      <c r="I2" s="2">
        <v>45</v>
      </c>
      <c r="J2" s="2">
        <v>3.3393999999999999</v>
      </c>
      <c r="K2" s="2">
        <v>69.218500000000006</v>
      </c>
      <c r="L2" s="3">
        <f>J2:J25/K2:K25</f>
        <v>4.8244327744750314E-2</v>
      </c>
      <c r="M2" s="3">
        <f>(L2:L25)^(1/3)</f>
        <v>0.36403970440168204</v>
      </c>
      <c r="N2" s="3">
        <f>1-((3/10)*(J2:J25/I2:I25)^2)-((3/2)*((J2:J25*E2)/(I2:I25)^2))</f>
        <v>0.97817546261333332</v>
      </c>
      <c r="O2" s="3">
        <f>1-(F2/I2:I25)^3-((9/8)*(1-(F2/I2:I25)^2)*((J2:J25*E2)/I2:I25^2))-((9/35)*(J2:J25/I2:I25)^2)</f>
        <v>0.97464205603793841</v>
      </c>
      <c r="P2" s="3">
        <f>N2:N25/O2:O25</f>
        <v>1.0036253376852613</v>
      </c>
      <c r="Q2" s="3">
        <f>L2:L25/O2:O25</f>
        <v>4.9499534158079034E-2</v>
      </c>
      <c r="R2" s="3">
        <f>Q2:Q25^(1/3)</f>
        <v>0.36716987128976225</v>
      </c>
      <c r="S2" s="3">
        <f>I2:I25+G2</f>
        <v>53.574746008708274</v>
      </c>
      <c r="T2" s="3">
        <f>(P2:P25*3*K2:K25*J2:J25)/(2*25.09*S2:S25)</f>
        <v>0.25887655495245687</v>
      </c>
      <c r="U2" s="3">
        <f>T2:T25*1000</f>
        <v>258.8765549524569</v>
      </c>
      <c r="V2">
        <f>AVERAGE(U3:U17)</f>
        <v>251.90320354568686</v>
      </c>
    </row>
    <row r="3" spans="1:22">
      <c r="E3" s="1">
        <v>8.1549999999999994</v>
      </c>
      <c r="F3" s="1">
        <v>9.5274999999999999</v>
      </c>
      <c r="G3" s="1">
        <f t="shared" ref="G3:G17" si="0">0.05908/0.00689</f>
        <v>8.5747460087082725</v>
      </c>
      <c r="I3" s="1">
        <v>46</v>
      </c>
      <c r="J3" s="1">
        <v>3.4603999999999999</v>
      </c>
      <c r="K3" s="1">
        <v>66.6708</v>
      </c>
      <c r="L3">
        <f t="shared" ref="L3:L17" si="1">J3:J26/K3:K26</f>
        <v>5.1902782027514291E-2</v>
      </c>
      <c r="M3">
        <f t="shared" ref="M3:M17" si="2">(L3:L26)^(1/3)</f>
        <v>0.3730183634137253</v>
      </c>
      <c r="N3">
        <f t="shared" ref="N3:N17" si="3">1-((3/10)*(J3:J26/I3:I26)^2)-((3/2)*((J3:J26*E3)/(I3:I26)^2))</f>
        <v>0.97829789534593581</v>
      </c>
      <c r="O3">
        <f t="shared" ref="O3:O17" si="4">1-(F3/I3:I26)^3-((9/8)*(1-(F3/I3:I26)^2)*((J3:J26*E3)/I3:I26^2))-((9/35)*(J3:J26/I3:I26)^2)</f>
        <v>0.9753000243787121</v>
      </c>
      <c r="P3">
        <f t="shared" ref="P3:P17" si="5">N3:N26/O3:O26</f>
        <v>1.0030737935940619</v>
      </c>
      <c r="Q3">
        <f t="shared" ref="Q3:Q17" si="6">L3:L26/O3:O26</f>
        <v>5.3217246724234959E-2</v>
      </c>
      <c r="R3">
        <f t="shared" ref="R3:R17" si="7">Q3:Q26^(1/3)</f>
        <v>0.37614110895999353</v>
      </c>
      <c r="S3">
        <f t="shared" ref="S3:S17" si="8">I3:I26+G3</f>
        <v>54.574746008708274</v>
      </c>
      <c r="T3">
        <f t="shared" ref="T3:T17" si="9">(P3:P26*3*K3:K26*J3:J26)/(2*25.09*S3:S26)</f>
        <v>0.25350920213402844</v>
      </c>
      <c r="U3">
        <f t="shared" ref="U3:U17" si="10">T3:T26*1000</f>
        <v>253.50920213402844</v>
      </c>
    </row>
    <row r="4" spans="1:22">
      <c r="E4" s="1">
        <v>8.1549999999999994</v>
      </c>
      <c r="F4" s="1">
        <v>9.5274999999999999</v>
      </c>
      <c r="G4" s="1">
        <f t="shared" si="0"/>
        <v>8.5747460087082725</v>
      </c>
      <c r="I4" s="1">
        <v>47</v>
      </c>
      <c r="J4" s="1">
        <v>3.5789</v>
      </c>
      <c r="K4" s="1">
        <v>65.6828</v>
      </c>
      <c r="L4">
        <f t="shared" si="1"/>
        <v>5.4487628420225691E-2</v>
      </c>
      <c r="M4">
        <f t="shared" si="2"/>
        <v>0.37911063577873122</v>
      </c>
      <c r="N4">
        <f t="shared" si="3"/>
        <v>0.97844207704255326</v>
      </c>
      <c r="O4">
        <f t="shared" si="4"/>
        <v>0.97592600621114667</v>
      </c>
      <c r="P4">
        <f t="shared" si="5"/>
        <v>1.0025781368827078</v>
      </c>
      <c r="Q4">
        <f t="shared" si="6"/>
        <v>5.583172092294568E-2</v>
      </c>
      <c r="R4">
        <f t="shared" si="7"/>
        <v>0.38220263027552964</v>
      </c>
      <c r="S4">
        <f t="shared" si="8"/>
        <v>55.574746008708274</v>
      </c>
      <c r="T4">
        <f t="shared" si="9"/>
        <v>0.25353187178887282</v>
      </c>
      <c r="U4">
        <f t="shared" si="10"/>
        <v>253.53187178887282</v>
      </c>
    </row>
    <row r="5" spans="1:22">
      <c r="E5" s="1">
        <v>8.1549999999999994</v>
      </c>
      <c r="F5" s="1">
        <v>9.5274999999999999</v>
      </c>
      <c r="G5" s="1">
        <f t="shared" si="0"/>
        <v>8.5747460087082725</v>
      </c>
      <c r="I5" s="1">
        <v>48</v>
      </c>
      <c r="J5" s="1">
        <v>3.7305000000000001</v>
      </c>
      <c r="K5" s="1">
        <v>64.793499999999995</v>
      </c>
      <c r="L5">
        <f t="shared" si="1"/>
        <v>5.7575219736547653E-2</v>
      </c>
      <c r="M5">
        <f t="shared" si="2"/>
        <v>0.38614036376565281</v>
      </c>
      <c r="N5">
        <f t="shared" si="3"/>
        <v>0.97838180107421879</v>
      </c>
      <c r="O5">
        <f t="shared" si="4"/>
        <v>0.97635732938220332</v>
      </c>
      <c r="P5">
        <f t="shared" si="5"/>
        <v>1.0020734946428849</v>
      </c>
      <c r="Q5">
        <f t="shared" si="6"/>
        <v>5.8969414172348932E-2</v>
      </c>
      <c r="R5">
        <f t="shared" si="7"/>
        <v>0.38923235848060933</v>
      </c>
      <c r="S5">
        <f t="shared" si="8"/>
        <v>56.574746008708274</v>
      </c>
      <c r="T5">
        <f t="shared" si="9"/>
        <v>0.25595643013211256</v>
      </c>
      <c r="U5">
        <f t="shared" si="10"/>
        <v>255.95643013211256</v>
      </c>
    </row>
    <row r="6" spans="1:22">
      <c r="E6" s="1">
        <v>8.1549999999999994</v>
      </c>
      <c r="F6" s="1">
        <v>9.5274999999999999</v>
      </c>
      <c r="G6" s="1">
        <f t="shared" si="0"/>
        <v>8.5747460087082725</v>
      </c>
      <c r="I6" s="1">
        <v>49</v>
      </c>
      <c r="J6" s="1">
        <v>3.9116</v>
      </c>
      <c r="K6" s="1">
        <v>63.726399999999998</v>
      </c>
      <c r="L6">
        <f t="shared" si="1"/>
        <v>6.1381154435210528E-2</v>
      </c>
      <c r="M6">
        <f t="shared" si="2"/>
        <v>0.39446791453216251</v>
      </c>
      <c r="N6">
        <f t="shared" si="3"/>
        <v>0.97815958710204087</v>
      </c>
      <c r="O6">
        <f t="shared" si="4"/>
        <v>0.97662889228262073</v>
      </c>
      <c r="P6">
        <f t="shared" si="5"/>
        <v>1.0015673249394073</v>
      </c>
      <c r="Q6">
        <f t="shared" si="6"/>
        <v>6.2850029238585958E-2</v>
      </c>
      <c r="R6">
        <f t="shared" si="7"/>
        <v>0.39758973328750907</v>
      </c>
      <c r="S6">
        <f t="shared" si="8"/>
        <v>57.574746008708274</v>
      </c>
      <c r="T6">
        <f t="shared" si="9"/>
        <v>0.25924628244263331</v>
      </c>
      <c r="U6">
        <f t="shared" si="10"/>
        <v>259.24628244263329</v>
      </c>
    </row>
    <row r="7" spans="1:22">
      <c r="E7" s="1">
        <v>8.1549999999999994</v>
      </c>
      <c r="F7" s="1">
        <v>9.5274999999999999</v>
      </c>
      <c r="G7" s="1">
        <f t="shared" si="0"/>
        <v>8.5747460087082725</v>
      </c>
      <c r="I7" s="1">
        <v>50</v>
      </c>
      <c r="J7" s="1">
        <v>4.0434000000000001</v>
      </c>
      <c r="K7" s="1">
        <v>63.805399999999999</v>
      </c>
      <c r="L7">
        <f t="shared" si="1"/>
        <v>6.3370811874856992E-2</v>
      </c>
      <c r="M7">
        <f t="shared" si="2"/>
        <v>0.39868487224214022</v>
      </c>
      <c r="N7">
        <f t="shared" si="3"/>
        <v>0.97825375377279999</v>
      </c>
      <c r="O7">
        <f t="shared" si="4"/>
        <v>0.97710014236583587</v>
      </c>
      <c r="P7">
        <f t="shared" si="5"/>
        <v>1.0011806480799101</v>
      </c>
      <c r="Q7">
        <f t="shared" si="6"/>
        <v>6.4856005159735552E-2</v>
      </c>
      <c r="R7">
        <f t="shared" si="7"/>
        <v>0.40177545184995517</v>
      </c>
      <c r="S7">
        <f t="shared" si="8"/>
        <v>58.574746008708274</v>
      </c>
      <c r="T7">
        <f t="shared" si="9"/>
        <v>0.26363117939746505</v>
      </c>
      <c r="U7">
        <f t="shared" si="10"/>
        <v>263.63117939746508</v>
      </c>
    </row>
    <row r="8" spans="1:22">
      <c r="E8" s="1">
        <v>8.1549999999999994</v>
      </c>
      <c r="F8" s="1">
        <v>9.5274999999999999</v>
      </c>
      <c r="G8" s="1">
        <f t="shared" si="0"/>
        <v>8.5747460087082725</v>
      </c>
      <c r="I8" s="1">
        <v>51</v>
      </c>
      <c r="J8" s="1">
        <v>4.1932</v>
      </c>
      <c r="K8" s="1">
        <v>62.165300000000002</v>
      </c>
      <c r="L8">
        <f t="shared" si="1"/>
        <v>6.7452421206042598E-2</v>
      </c>
      <c r="M8">
        <f t="shared" si="2"/>
        <v>0.40706695428717782</v>
      </c>
      <c r="N8">
        <f t="shared" si="3"/>
        <v>0.9782513660622838</v>
      </c>
      <c r="O8">
        <f t="shared" si="4"/>
        <v>0.97746773356316041</v>
      </c>
      <c r="P8">
        <f t="shared" si="5"/>
        <v>1.0008016965391449</v>
      </c>
      <c r="Q8">
        <f t="shared" si="6"/>
        <v>6.9007312354095282E-2</v>
      </c>
      <c r="R8">
        <f t="shared" si="7"/>
        <v>0.4101710813968063</v>
      </c>
      <c r="S8">
        <f t="shared" si="8"/>
        <v>59.574746008708274</v>
      </c>
      <c r="T8">
        <f t="shared" si="9"/>
        <v>0.26180024108019861</v>
      </c>
      <c r="U8">
        <f t="shared" si="10"/>
        <v>261.80024108019859</v>
      </c>
    </row>
    <row r="9" spans="1:22">
      <c r="E9" s="1">
        <v>8.1549999999999994</v>
      </c>
      <c r="F9" s="1">
        <v>9.5274999999999999</v>
      </c>
      <c r="G9" s="1">
        <f t="shared" si="0"/>
        <v>8.5747460087082725</v>
      </c>
      <c r="I9" s="1">
        <v>52</v>
      </c>
      <c r="J9" s="1">
        <v>4.3513000000000002</v>
      </c>
      <c r="K9" s="1">
        <v>59.991500000000002</v>
      </c>
      <c r="L9">
        <f t="shared" si="1"/>
        <v>7.2531942025120227E-2</v>
      </c>
      <c r="M9">
        <f t="shared" si="2"/>
        <v>0.4170387740537056</v>
      </c>
      <c r="N9">
        <f t="shared" si="3"/>
        <v>0.9782147112585059</v>
      </c>
      <c r="O9">
        <f t="shared" si="4"/>
        <v>0.97778084182757408</v>
      </c>
      <c r="P9">
        <f t="shared" si="5"/>
        <v>1.0004437287093095</v>
      </c>
      <c r="Q9">
        <f t="shared" si="6"/>
        <v>7.4180162795530427E-2</v>
      </c>
      <c r="R9">
        <f t="shared" si="7"/>
        <v>0.42017408277813623</v>
      </c>
      <c r="S9">
        <f t="shared" si="8"/>
        <v>60.574746008708274</v>
      </c>
      <c r="T9">
        <f t="shared" si="9"/>
        <v>0.25775103021986528</v>
      </c>
      <c r="U9">
        <f t="shared" si="10"/>
        <v>257.7510302198653</v>
      </c>
    </row>
    <row r="10" spans="1:22">
      <c r="E10" s="1">
        <v>8.1549999999999994</v>
      </c>
      <c r="F10" s="1">
        <v>9.5274999999999999</v>
      </c>
      <c r="G10" s="1">
        <f t="shared" si="0"/>
        <v>8.5747460087082725</v>
      </c>
      <c r="I10" s="1">
        <v>55</v>
      </c>
      <c r="J10" s="1">
        <v>4.8108000000000004</v>
      </c>
      <c r="K10" s="1">
        <v>57.560899999999997</v>
      </c>
      <c r="L10">
        <f t="shared" si="1"/>
        <v>8.3577567411211445E-2</v>
      </c>
      <c r="M10">
        <f t="shared" si="2"/>
        <v>0.43721653240951891</v>
      </c>
      <c r="N10">
        <f t="shared" si="3"/>
        <v>0.97825082644892569</v>
      </c>
      <c r="O10">
        <f t="shared" si="4"/>
        <v>0.97868187535753182</v>
      </c>
      <c r="P10">
        <f t="shared" si="5"/>
        <v>0.9995595617744033</v>
      </c>
      <c r="Q10">
        <f t="shared" si="6"/>
        <v>8.5398094636910393E-2</v>
      </c>
      <c r="R10">
        <f t="shared" si="7"/>
        <v>0.44036831185290609</v>
      </c>
      <c r="S10">
        <f t="shared" si="8"/>
        <v>63.574746008708274</v>
      </c>
      <c r="T10">
        <f t="shared" si="9"/>
        <v>0.26029122062417354</v>
      </c>
      <c r="U10">
        <f t="shared" si="10"/>
        <v>260.29122062417355</v>
      </c>
    </row>
    <row r="11" spans="1:22">
      <c r="E11" s="1">
        <v>8.1549999999999994</v>
      </c>
      <c r="F11" s="1">
        <v>9.5274999999999999</v>
      </c>
      <c r="G11" s="1">
        <f t="shared" si="0"/>
        <v>8.5747460087082725</v>
      </c>
      <c r="I11" s="1">
        <v>60</v>
      </c>
      <c r="J11" s="1">
        <v>5.5091000000000001</v>
      </c>
      <c r="K11" s="1">
        <v>52.818199999999997</v>
      </c>
      <c r="L11">
        <f t="shared" si="1"/>
        <v>0.10430306220204399</v>
      </c>
      <c r="M11">
        <f t="shared" si="2"/>
        <v>0.47072328985163853</v>
      </c>
      <c r="N11">
        <f t="shared" si="3"/>
        <v>0.97875135539083336</v>
      </c>
      <c r="O11">
        <f t="shared" si="4"/>
        <v>0.98014263923755418</v>
      </c>
      <c r="P11">
        <f t="shared" si="5"/>
        <v>0.99858052920970453</v>
      </c>
      <c r="Q11">
        <f t="shared" si="6"/>
        <v>0.10641620721977832</v>
      </c>
      <c r="R11">
        <f t="shared" si="7"/>
        <v>0.47388095905609851</v>
      </c>
      <c r="S11">
        <f t="shared" si="8"/>
        <v>68.574746008708274</v>
      </c>
      <c r="T11">
        <f t="shared" si="9"/>
        <v>0.25332248296069332</v>
      </c>
      <c r="U11">
        <f t="shared" si="10"/>
        <v>253.32248296069332</v>
      </c>
    </row>
    <row r="12" spans="1:22">
      <c r="E12" s="1">
        <v>8.1549999999999994</v>
      </c>
      <c r="F12" s="1">
        <v>9.5274999999999999</v>
      </c>
      <c r="G12" s="1">
        <f t="shared" si="0"/>
        <v>8.5747460087082725</v>
      </c>
      <c r="I12" s="1">
        <v>65</v>
      </c>
      <c r="J12" s="1">
        <v>6.4543999999999997</v>
      </c>
      <c r="K12" s="1">
        <v>50.901299999999999</v>
      </c>
      <c r="L12">
        <f t="shared" si="1"/>
        <v>0.12680226241765927</v>
      </c>
      <c r="M12">
        <f t="shared" si="2"/>
        <v>0.50239155920778311</v>
      </c>
      <c r="N12">
        <f t="shared" si="3"/>
        <v>0.97835473803360951</v>
      </c>
      <c r="O12">
        <f t="shared" si="4"/>
        <v>0.9806010620655351</v>
      </c>
      <c r="P12">
        <f t="shared" si="5"/>
        <v>0.99770923761066099</v>
      </c>
      <c r="Q12">
        <f t="shared" si="6"/>
        <v>0.12931075370300268</v>
      </c>
      <c r="R12">
        <f t="shared" si="7"/>
        <v>0.50568283761695654</v>
      </c>
      <c r="S12">
        <f t="shared" si="8"/>
        <v>73.574746008708274</v>
      </c>
      <c r="T12">
        <f t="shared" si="9"/>
        <v>0.26634869314637433</v>
      </c>
      <c r="U12">
        <f t="shared" si="10"/>
        <v>266.34869314637433</v>
      </c>
    </row>
    <row r="13" spans="1:22">
      <c r="E13" s="1">
        <v>8.1549999999999994</v>
      </c>
      <c r="F13" s="1">
        <v>9.5274999999999999</v>
      </c>
      <c r="G13" s="1">
        <f t="shared" si="0"/>
        <v>8.5747460087082725</v>
      </c>
      <c r="I13" s="1">
        <v>70</v>
      </c>
      <c r="J13" s="1">
        <v>7.0834999999999999</v>
      </c>
      <c r="K13" s="1">
        <v>46.968800000000002</v>
      </c>
      <c r="L13">
        <f t="shared" si="1"/>
        <v>0.1508128800395156</v>
      </c>
      <c r="M13">
        <f t="shared" si="2"/>
        <v>0.53228734928803023</v>
      </c>
      <c r="N13">
        <f t="shared" si="3"/>
        <v>0.97924454991326526</v>
      </c>
      <c r="O13">
        <f t="shared" si="4"/>
        <v>0.98182855543723146</v>
      </c>
      <c r="P13">
        <f t="shared" si="5"/>
        <v>0.99736817032906988</v>
      </c>
      <c r="Q13">
        <f t="shared" si="6"/>
        <v>0.15360408821309446</v>
      </c>
      <c r="R13">
        <f t="shared" si="7"/>
        <v>0.53555111138565237</v>
      </c>
      <c r="S13">
        <f t="shared" si="8"/>
        <v>78.574746008708274</v>
      </c>
      <c r="T13">
        <f t="shared" si="9"/>
        <v>0.25247621968312489</v>
      </c>
      <c r="U13">
        <f t="shared" si="10"/>
        <v>252.4762196831249</v>
      </c>
    </row>
    <row r="14" spans="1:22">
      <c r="E14" s="1">
        <v>8.1549999999999994</v>
      </c>
      <c r="F14" s="1">
        <v>9.5274999999999999</v>
      </c>
      <c r="G14" s="1">
        <f t="shared" si="0"/>
        <v>8.5747460087082725</v>
      </c>
      <c r="I14" s="1">
        <v>75</v>
      </c>
      <c r="J14" s="1">
        <v>8.0632999999999999</v>
      </c>
      <c r="K14" s="1">
        <v>42.4435</v>
      </c>
      <c r="L14">
        <f t="shared" si="1"/>
        <v>0.18997726389199759</v>
      </c>
      <c r="M14">
        <f t="shared" si="2"/>
        <v>0.5748667758315219</v>
      </c>
      <c r="N14">
        <f t="shared" si="3"/>
        <v>0.97899744723253335</v>
      </c>
      <c r="O14">
        <f t="shared" si="4"/>
        <v>0.98203879223908364</v>
      </c>
      <c r="P14">
        <f t="shared" si="5"/>
        <v>0.99690302966584865</v>
      </c>
      <c r="Q14">
        <f t="shared" si="6"/>
        <v>0.19345189354367828</v>
      </c>
      <c r="R14">
        <f t="shared" si="7"/>
        <v>0.57835033970811778</v>
      </c>
      <c r="S14">
        <f t="shared" si="8"/>
        <v>83.574746008708274</v>
      </c>
      <c r="T14">
        <f t="shared" si="9"/>
        <v>0.24405766744121699</v>
      </c>
      <c r="U14">
        <f t="shared" si="10"/>
        <v>244.05766744121698</v>
      </c>
    </row>
    <row r="15" spans="1:22">
      <c r="E15" s="1">
        <v>8.1549999999999994</v>
      </c>
      <c r="F15" s="1">
        <v>9.5274999999999999</v>
      </c>
      <c r="G15" s="1">
        <f t="shared" si="0"/>
        <v>8.5747460087082725</v>
      </c>
      <c r="I15" s="1">
        <v>80</v>
      </c>
      <c r="J15" s="1">
        <v>8.7896000000000001</v>
      </c>
      <c r="K15" s="1">
        <v>40.111699999999999</v>
      </c>
      <c r="L15">
        <f t="shared" si="1"/>
        <v>0.21912808482313142</v>
      </c>
      <c r="M15">
        <f t="shared" si="2"/>
        <v>0.60288250460540949</v>
      </c>
      <c r="N15">
        <f t="shared" si="3"/>
        <v>0.97957876524250009</v>
      </c>
      <c r="O15">
        <f t="shared" si="4"/>
        <v>0.98278562700697192</v>
      </c>
      <c r="P15">
        <f t="shared" si="5"/>
        <v>0.99673696717132687</v>
      </c>
      <c r="Q15">
        <f t="shared" si="6"/>
        <v>0.22296631004919745</v>
      </c>
      <c r="R15">
        <f t="shared" si="7"/>
        <v>0.60638215977517285</v>
      </c>
      <c r="S15">
        <f t="shared" si="8"/>
        <v>88.574746008708274</v>
      </c>
      <c r="T15">
        <f t="shared" si="9"/>
        <v>0.23719275957415156</v>
      </c>
      <c r="U15">
        <f t="shared" si="10"/>
        <v>237.19275957415155</v>
      </c>
    </row>
    <row r="16" spans="1:22">
      <c r="E16" s="1">
        <v>8.1549999999999994</v>
      </c>
      <c r="F16" s="1">
        <v>9.5274999999999999</v>
      </c>
      <c r="G16" s="1">
        <f t="shared" si="0"/>
        <v>8.5747460087082725</v>
      </c>
      <c r="I16" s="1">
        <v>85</v>
      </c>
      <c r="J16" s="1">
        <v>9.7893000000000008</v>
      </c>
      <c r="K16" s="1">
        <v>36.771999999999998</v>
      </c>
      <c r="L16">
        <f t="shared" si="1"/>
        <v>0.26621614271728494</v>
      </c>
      <c r="M16">
        <f t="shared" si="2"/>
        <v>0.64329690533729733</v>
      </c>
      <c r="N16">
        <f t="shared" si="3"/>
        <v>0.97944681929453281</v>
      </c>
      <c r="O16">
        <f t="shared" si="4"/>
        <v>0.98290670402557356</v>
      </c>
      <c r="P16">
        <f t="shared" si="5"/>
        <v>0.99647994594311895</v>
      </c>
      <c r="Q16">
        <f t="shared" si="6"/>
        <v>0.27084578996864633</v>
      </c>
      <c r="R16">
        <f t="shared" si="7"/>
        <v>0.64700459213547323</v>
      </c>
      <c r="S16">
        <f t="shared" si="8"/>
        <v>93.574746008708274</v>
      </c>
      <c r="T16">
        <f t="shared" si="9"/>
        <v>0.22917613621017827</v>
      </c>
      <c r="U16">
        <f t="shared" si="10"/>
        <v>229.17613621017827</v>
      </c>
    </row>
    <row r="17" spans="5:21">
      <c r="E17" s="1">
        <v>8.1549999999999994</v>
      </c>
      <c r="F17" s="1">
        <v>9.5274999999999999</v>
      </c>
      <c r="G17" s="1">
        <f t="shared" si="0"/>
        <v>8.5747460087082725</v>
      </c>
      <c r="I17" s="1">
        <v>90</v>
      </c>
      <c r="J17" s="1">
        <v>10.877800000000001</v>
      </c>
      <c r="K17" s="1">
        <v>35.033000000000001</v>
      </c>
      <c r="L17">
        <f t="shared" si="1"/>
        <v>0.31050152713156165</v>
      </c>
      <c r="M17">
        <f t="shared" si="2"/>
        <v>0.67715472546706124</v>
      </c>
      <c r="N17">
        <f t="shared" si="3"/>
        <v>0.97919004341333338</v>
      </c>
      <c r="O17">
        <f t="shared" si="4"/>
        <v>0.98287471430398743</v>
      </c>
      <c r="P17">
        <f t="shared" si="5"/>
        <v>0.99625112861585485</v>
      </c>
      <c r="Q17">
        <f t="shared" si="6"/>
        <v>0.31591160359786047</v>
      </c>
      <c r="R17">
        <f t="shared" si="7"/>
        <v>0.68106494292035824</v>
      </c>
      <c r="S17">
        <f t="shared" si="8"/>
        <v>98.574746008708274</v>
      </c>
      <c r="T17">
        <f t="shared" si="9"/>
        <v>0.23025663635021426</v>
      </c>
      <c r="U17">
        <f t="shared" si="10"/>
        <v>230.25663635021425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1F64-2350-4410-928E-1CE24D0BE43D}">
  <dimension ref="A1:V18"/>
  <sheetViews>
    <sheetView topLeftCell="O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6.58203125" bestFit="1" customWidth="1"/>
    <col min="6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0" width="12.33203125" bestFit="1" customWidth="1"/>
    <col min="21" max="21" width="11.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66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65</v>
      </c>
      <c r="B2" s="2">
        <v>3.8332999999999999</v>
      </c>
      <c r="C2" s="2">
        <v>25.033300000000001</v>
      </c>
      <c r="D2" s="2">
        <v>45</v>
      </c>
      <c r="E2" s="2">
        <v>8.1191999999999993</v>
      </c>
      <c r="F2" s="2">
        <v>9.5250000000000004</v>
      </c>
      <c r="G2" s="2">
        <f>0.07227/0.00678</f>
        <v>10.659292035398231</v>
      </c>
      <c r="H2" s="2" t="s">
        <v>9</v>
      </c>
      <c r="I2" s="2">
        <v>45</v>
      </c>
      <c r="J2" s="2">
        <v>3.4272</v>
      </c>
      <c r="K2" s="2">
        <v>64.402699999999996</v>
      </c>
      <c r="L2" s="3">
        <f>J2:J25/K2:K25</f>
        <v>5.3215160233965351E-2</v>
      </c>
      <c r="M2" s="3">
        <f>(L2:L25)^(1/3)</f>
        <v>0.37613619310364282</v>
      </c>
      <c r="N2" s="3">
        <f>1-((3/10)*(J2:J25/I2:I25)^2)-((3/2)*((J2:J25*E2)/(I2:I25)^2))</f>
        <v>0.97764795392000003</v>
      </c>
      <c r="O2" s="3">
        <f>1-(F2/I2:I25)^3-((9/8)*(1-(F2/I2:I25)^2)*((J2:J25*E2)/I2:I25^2))-((9/35)*(J2:J25/I2:I25)^2)</f>
        <v>0.97425887533655708</v>
      </c>
      <c r="P2" s="3">
        <f>N2:N25/O2:O25</f>
        <v>1.0034786222319731</v>
      </c>
      <c r="Q2" s="3">
        <f>L2:L25/O2:O25</f>
        <v>5.4621170595528019E-2</v>
      </c>
      <c r="R2" s="3">
        <f>Q2:Q25^(1/3)</f>
        <v>0.3794201002472169</v>
      </c>
      <c r="S2" s="3">
        <f>I2:I25+G2</f>
        <v>55.659292035398231</v>
      </c>
      <c r="T2" s="3">
        <f>(P2:P25*3*K2:K25*J2:J25)/(2*25.0333*S2:S25)</f>
        <v>0.23844439935824008</v>
      </c>
      <c r="U2" s="3">
        <f>T2:T25*1000</f>
        <v>238.44439935824008</v>
      </c>
      <c r="V2">
        <f>AVERAGE(U3:U17)</f>
        <v>229.18631282423866</v>
      </c>
    </row>
    <row r="3" spans="1:22">
      <c r="E3" s="1">
        <v>8.1191999999999993</v>
      </c>
      <c r="F3" s="1">
        <v>9.5250000000000004</v>
      </c>
      <c r="G3" s="1">
        <f t="shared" ref="G3:G17" si="0">0.07227/0.00678</f>
        <v>10.659292035398231</v>
      </c>
      <c r="I3" s="1">
        <v>46</v>
      </c>
      <c r="J3" s="1">
        <v>3.4207999999999998</v>
      </c>
      <c r="K3" s="1">
        <v>60.7029</v>
      </c>
      <c r="L3">
        <f t="shared" ref="L3:L17" si="1">J3:J26/K3:K26</f>
        <v>5.6353156109510416E-2</v>
      </c>
      <c r="M3">
        <f t="shared" ref="M3:M17" si="2">(L3:L26)^(1/3)</f>
        <v>0.38338879390432756</v>
      </c>
      <c r="N3">
        <f t="shared" ref="N3:N17" si="3">1-((3/10)*(J3:J26/I3:I26)^2)-((3/2)*((J3:J26*E3)/(I3:I26)^2))</f>
        <v>0.97865226803780725</v>
      </c>
      <c r="O3">
        <f t="shared" ref="O3:O17" si="4">1-(F3/I3:I26)^3-((9/8)*(1-(F3/I3:I26)^2)*((J3:J26*E3)/I3:I26^2))-((9/35)*(J3:J26/I3:I26)^2)</f>
        <v>0.97556644474884191</v>
      </c>
      <c r="P3">
        <f t="shared" ref="P3:P17" si="5">N3:N26/O3:O26</f>
        <v>1.0031631092946824</v>
      </c>
      <c r="Q3">
        <f t="shared" ref="Q3:Q17" si="6">L3:L26/O3:O26</f>
        <v>5.7764549419305262E-2</v>
      </c>
      <c r="R3">
        <f t="shared" ref="R3:R17" si="7">Q3:Q26^(1/3)</f>
        <v>0.38656316049044376</v>
      </c>
      <c r="S3">
        <f t="shared" ref="S3:S17" si="8">I3:I26+G3</f>
        <v>56.659292035398231</v>
      </c>
      <c r="T3">
        <f t="shared" ref="T3:T17" si="9">(P3:P26*3*K3:K26*J3:J26)/(2*25.0333*S3:S26)</f>
        <v>0.22029806737965824</v>
      </c>
      <c r="U3">
        <f t="shared" ref="U3:U17" si="10">T3:T26*1000</f>
        <v>220.29806737965825</v>
      </c>
    </row>
    <row r="4" spans="1:22">
      <c r="E4" s="1">
        <v>8.1191999999999993</v>
      </c>
      <c r="F4" s="1">
        <v>9.5250000000000004</v>
      </c>
      <c r="G4" s="1">
        <f t="shared" si="0"/>
        <v>10.659292035398231</v>
      </c>
      <c r="I4" s="1">
        <v>47</v>
      </c>
      <c r="J4" s="1">
        <v>3.5987</v>
      </c>
      <c r="K4" s="1">
        <v>62.481400000000001</v>
      </c>
      <c r="L4">
        <f t="shared" si="1"/>
        <v>5.7596340670983681E-2</v>
      </c>
      <c r="M4">
        <f t="shared" si="2"/>
        <v>0.38618757532803716</v>
      </c>
      <c r="N4">
        <f t="shared" si="3"/>
        <v>0.97840061563286551</v>
      </c>
      <c r="O4">
        <f t="shared" si="4"/>
        <v>0.97589975994979072</v>
      </c>
      <c r="P4">
        <f t="shared" si="5"/>
        <v>1.002562615327627</v>
      </c>
      <c r="Q4">
        <f t="shared" si="6"/>
        <v>5.9018705644468004E-2</v>
      </c>
      <c r="R4">
        <f t="shared" si="7"/>
        <v>0.38934077905195019</v>
      </c>
      <c r="S4">
        <f t="shared" si="8"/>
        <v>57.659292035398231</v>
      </c>
      <c r="T4">
        <f t="shared" si="9"/>
        <v>0.23426734277126279</v>
      </c>
      <c r="U4">
        <f t="shared" si="10"/>
        <v>234.2673427712628</v>
      </c>
    </row>
    <row r="5" spans="1:22">
      <c r="E5" s="1">
        <v>8.1191999999999993</v>
      </c>
      <c r="F5" s="1">
        <v>9.5250000000000004</v>
      </c>
      <c r="G5" s="1">
        <f t="shared" si="0"/>
        <v>10.659292035398231</v>
      </c>
      <c r="I5" s="1">
        <v>48</v>
      </c>
      <c r="J5" s="1">
        <v>3.8292999999999999</v>
      </c>
      <c r="K5" s="1">
        <v>60.742400000000004</v>
      </c>
      <c r="L5">
        <f t="shared" si="1"/>
        <v>6.3041631545674839E-2</v>
      </c>
      <c r="M5">
        <f t="shared" si="2"/>
        <v>0.39799334926908803</v>
      </c>
      <c r="N5">
        <f t="shared" si="3"/>
        <v>0.97784924462369793</v>
      </c>
      <c r="O5">
        <f t="shared" si="4"/>
        <v>0.97596619508636739</v>
      </c>
      <c r="P5">
        <f t="shared" si="5"/>
        <v>1.0019294208619223</v>
      </c>
      <c r="Q5">
        <f t="shared" si="6"/>
        <v>6.459407289214153E-2</v>
      </c>
      <c r="R5">
        <f t="shared" si="7"/>
        <v>0.40123384202999207</v>
      </c>
      <c r="S5">
        <f t="shared" si="8"/>
        <v>58.659292035398231</v>
      </c>
      <c r="T5">
        <f t="shared" si="9"/>
        <v>0.23805911050940678</v>
      </c>
      <c r="U5">
        <f t="shared" si="10"/>
        <v>238.05911050940679</v>
      </c>
    </row>
    <row r="6" spans="1:22">
      <c r="E6" s="1">
        <v>8.1191999999999993</v>
      </c>
      <c r="F6" s="1">
        <v>9.5250000000000004</v>
      </c>
      <c r="G6" s="1">
        <f t="shared" si="0"/>
        <v>10.659292035398231</v>
      </c>
      <c r="I6" s="1">
        <v>49</v>
      </c>
      <c r="J6" s="1">
        <v>3.9784999999999999</v>
      </c>
      <c r="K6" s="1">
        <v>60.683199999999999</v>
      </c>
      <c r="L6">
        <f t="shared" si="1"/>
        <v>6.5561802937221497E-2</v>
      </c>
      <c r="M6">
        <f t="shared" si="2"/>
        <v>0.40322764188774957</v>
      </c>
      <c r="N6">
        <f t="shared" si="3"/>
        <v>0.97784177656184923</v>
      </c>
      <c r="O6">
        <f t="shared" si="4"/>
        <v>0.97639609422131002</v>
      </c>
      <c r="P6">
        <f t="shared" si="5"/>
        <v>1.0014806310155226</v>
      </c>
      <c r="Q6">
        <f t="shared" si="6"/>
        <v>6.7146727977755769E-2</v>
      </c>
      <c r="R6">
        <f t="shared" si="7"/>
        <v>0.40645108279861902</v>
      </c>
      <c r="S6">
        <f t="shared" si="8"/>
        <v>59.659292035398231</v>
      </c>
      <c r="T6">
        <f t="shared" si="9"/>
        <v>0.24284292246903508</v>
      </c>
      <c r="U6">
        <f t="shared" si="10"/>
        <v>242.84292246903507</v>
      </c>
    </row>
    <row r="7" spans="1:22">
      <c r="E7" s="1">
        <v>8.1191999999999993</v>
      </c>
      <c r="F7" s="1">
        <v>9.5250000000000004</v>
      </c>
      <c r="G7" s="1">
        <f t="shared" si="0"/>
        <v>10.659292035398231</v>
      </c>
      <c r="I7" s="1">
        <v>50</v>
      </c>
      <c r="J7" s="1">
        <v>4.0976999999999997</v>
      </c>
      <c r="K7" s="1">
        <v>59.971800000000002</v>
      </c>
      <c r="L7">
        <f t="shared" si="1"/>
        <v>6.8327113743459414E-2</v>
      </c>
      <c r="M7">
        <f t="shared" si="2"/>
        <v>0.40881895639129023</v>
      </c>
      <c r="N7">
        <f t="shared" si="3"/>
        <v>0.97802303506120003</v>
      </c>
      <c r="O7">
        <f t="shared" si="4"/>
        <v>0.97693141774364178</v>
      </c>
      <c r="P7">
        <f t="shared" si="5"/>
        <v>1.001117394013266</v>
      </c>
      <c r="Q7">
        <f t="shared" si="6"/>
        <v>6.9940542910648051E-2</v>
      </c>
      <c r="R7">
        <f t="shared" si="7"/>
        <v>0.41201181139090504</v>
      </c>
      <c r="S7">
        <f t="shared" si="8"/>
        <v>60.659292035398231</v>
      </c>
      <c r="T7">
        <f t="shared" si="9"/>
        <v>0.24302338663575387</v>
      </c>
      <c r="U7">
        <f t="shared" si="10"/>
        <v>243.02338663575387</v>
      </c>
    </row>
    <row r="8" spans="1:22">
      <c r="E8" s="1">
        <v>8.1191999999999993</v>
      </c>
      <c r="F8" s="1">
        <v>9.5250000000000004</v>
      </c>
      <c r="G8" s="1">
        <f t="shared" si="0"/>
        <v>10.659292035398231</v>
      </c>
      <c r="I8" s="1">
        <v>51</v>
      </c>
      <c r="J8" s="1">
        <v>4.2557999999999998</v>
      </c>
      <c r="K8" s="1">
        <v>59.201099999999997</v>
      </c>
      <c r="L8">
        <f t="shared" si="1"/>
        <v>7.1887177772034641E-2</v>
      </c>
      <c r="M8">
        <f t="shared" si="2"/>
        <v>0.41579935500186843</v>
      </c>
      <c r="N8">
        <f t="shared" si="3"/>
        <v>0.97798381886505192</v>
      </c>
      <c r="O8">
        <f t="shared" si="4"/>
        <v>0.9772708003747016</v>
      </c>
      <c r="P8">
        <f t="shared" si="5"/>
        <v>1.0007296017542702</v>
      </c>
      <c r="Q8">
        <f t="shared" si="6"/>
        <v>7.3559117641161409E-2</v>
      </c>
      <c r="R8">
        <f t="shared" si="7"/>
        <v>0.4189982126576059</v>
      </c>
      <c r="S8">
        <f t="shared" si="8"/>
        <v>61.659292035398231</v>
      </c>
      <c r="T8">
        <f t="shared" si="9"/>
        <v>0.24502046186656992</v>
      </c>
      <c r="U8">
        <f t="shared" si="10"/>
        <v>245.02046186656992</v>
      </c>
    </row>
    <row r="9" spans="1:22">
      <c r="E9" s="1">
        <v>8.1191999999999993</v>
      </c>
      <c r="F9" s="1">
        <v>9.5250000000000004</v>
      </c>
      <c r="G9" s="1">
        <f t="shared" si="0"/>
        <v>10.659292035398231</v>
      </c>
      <c r="I9" s="1">
        <v>52</v>
      </c>
      <c r="J9" s="1">
        <v>4.3792999999999997</v>
      </c>
      <c r="K9" s="1">
        <v>57.639899999999997</v>
      </c>
      <c r="L9">
        <f t="shared" si="1"/>
        <v>7.5976884068154171E-2</v>
      </c>
      <c r="M9">
        <f t="shared" si="2"/>
        <v>0.42353940889121705</v>
      </c>
      <c r="N9">
        <f t="shared" si="3"/>
        <v>0.9781478922385356</v>
      </c>
      <c r="O9">
        <f t="shared" si="4"/>
        <v>0.97773340111747065</v>
      </c>
      <c r="P9">
        <f t="shared" si="5"/>
        <v>1.000423930614001</v>
      </c>
      <c r="Q9">
        <f t="shared" si="6"/>
        <v>7.7707158189869244E-2</v>
      </c>
      <c r="R9">
        <f t="shared" si="7"/>
        <v>0.42673049115241457</v>
      </c>
      <c r="S9">
        <f t="shared" si="8"/>
        <v>62.659292035398231</v>
      </c>
      <c r="T9">
        <f t="shared" si="9"/>
        <v>0.24149028218061777</v>
      </c>
      <c r="U9">
        <f t="shared" si="10"/>
        <v>241.49028218061778</v>
      </c>
    </row>
    <row r="10" spans="1:22">
      <c r="E10" s="1">
        <v>8.1191999999999993</v>
      </c>
      <c r="F10" s="1">
        <v>9.5250000000000004</v>
      </c>
      <c r="G10" s="1">
        <f t="shared" si="0"/>
        <v>10.659292035398231</v>
      </c>
      <c r="I10" s="1">
        <v>55</v>
      </c>
      <c r="J10" s="1">
        <v>4.6165000000000003</v>
      </c>
      <c r="K10" s="1">
        <v>54.754800000000003</v>
      </c>
      <c r="L10">
        <f t="shared" si="1"/>
        <v>8.431224294491077E-2</v>
      </c>
      <c r="M10">
        <f t="shared" si="2"/>
        <v>0.43849389139459144</v>
      </c>
      <c r="N10">
        <f t="shared" si="3"/>
        <v>0.97930014814049593</v>
      </c>
      <c r="O10">
        <f t="shared" si="4"/>
        <v>0.97947267401860849</v>
      </c>
      <c r="P10">
        <f t="shared" si="5"/>
        <v>0.99982385840596788</v>
      </c>
      <c r="Q10">
        <f t="shared" si="6"/>
        <v>8.6079219136346183E-2</v>
      </c>
      <c r="R10">
        <f t="shared" si="7"/>
        <v>0.44153598707686403</v>
      </c>
      <c r="S10">
        <f t="shared" si="8"/>
        <v>65.659292035398238</v>
      </c>
      <c r="T10">
        <f t="shared" si="9"/>
        <v>0.23064045821098134</v>
      </c>
      <c r="U10">
        <f t="shared" si="10"/>
        <v>230.64045821098134</v>
      </c>
    </row>
    <row r="11" spans="1:22">
      <c r="E11" s="1">
        <v>8.1191999999999993</v>
      </c>
      <c r="F11" s="1">
        <v>9.5250000000000004</v>
      </c>
      <c r="G11" s="1">
        <f t="shared" si="0"/>
        <v>10.659292035398231</v>
      </c>
      <c r="I11" s="1">
        <v>60</v>
      </c>
      <c r="J11" s="1">
        <v>5.4827000000000004</v>
      </c>
      <c r="K11" s="1">
        <v>50.842100000000002</v>
      </c>
      <c r="L11">
        <f t="shared" si="1"/>
        <v>0.10783779584242194</v>
      </c>
      <c r="M11">
        <f t="shared" si="2"/>
        <v>0.47598178590360302</v>
      </c>
      <c r="N11">
        <f t="shared" si="3"/>
        <v>0.97894702595916672</v>
      </c>
      <c r="O11">
        <f t="shared" si="4"/>
        <v>0.98029170701809354</v>
      </c>
      <c r="P11">
        <f t="shared" si="5"/>
        <v>0.99862828477554177</v>
      </c>
      <c r="Q11">
        <f t="shared" si="6"/>
        <v>0.11000582282844054</v>
      </c>
      <c r="R11">
        <f t="shared" si="7"/>
        <v>0.4791504399861396</v>
      </c>
      <c r="S11">
        <f t="shared" si="8"/>
        <v>70.659292035398238</v>
      </c>
      <c r="T11">
        <f t="shared" si="9"/>
        <v>0.2360617919311126</v>
      </c>
      <c r="U11">
        <f t="shared" si="10"/>
        <v>236.06179193111259</v>
      </c>
    </row>
    <row r="12" spans="1:22">
      <c r="E12" s="1">
        <v>8.1191999999999993</v>
      </c>
      <c r="F12" s="1">
        <v>9.5250000000000004</v>
      </c>
      <c r="G12" s="1">
        <f t="shared" si="0"/>
        <v>10.659292035398231</v>
      </c>
      <c r="I12" s="1">
        <v>65</v>
      </c>
      <c r="J12" s="1">
        <v>6.1052</v>
      </c>
      <c r="K12" s="1">
        <v>47.206000000000003</v>
      </c>
      <c r="L12">
        <f t="shared" si="1"/>
        <v>0.12933101724357071</v>
      </c>
      <c r="M12">
        <f t="shared" si="2"/>
        <v>0.50570925044858461</v>
      </c>
      <c r="N12">
        <f t="shared" si="3"/>
        <v>0.97975478109538461</v>
      </c>
      <c r="O12">
        <f t="shared" si="4"/>
        <v>0.98166924855300397</v>
      </c>
      <c r="P12">
        <f t="shared" si="5"/>
        <v>0.99804978361047647</v>
      </c>
      <c r="Q12">
        <f t="shared" si="6"/>
        <v>0.13174602080507938</v>
      </c>
      <c r="R12">
        <f t="shared" si="7"/>
        <v>0.50883756884420905</v>
      </c>
      <c r="S12">
        <f t="shared" si="8"/>
        <v>75.659292035398238</v>
      </c>
      <c r="T12">
        <f t="shared" si="9"/>
        <v>0.22780339088192558</v>
      </c>
      <c r="U12">
        <f t="shared" si="10"/>
        <v>227.80339088192559</v>
      </c>
    </row>
    <row r="13" spans="1:22">
      <c r="E13" s="1">
        <v>8.1191999999999993</v>
      </c>
      <c r="F13" s="1">
        <v>9.5250000000000004</v>
      </c>
      <c r="G13" s="1">
        <f t="shared" si="0"/>
        <v>10.659292035398231</v>
      </c>
      <c r="I13" s="1">
        <v>70</v>
      </c>
      <c r="J13" s="1">
        <v>6.6668000000000003</v>
      </c>
      <c r="K13" s="1">
        <v>43.490900000000003</v>
      </c>
      <c r="L13">
        <f t="shared" si="1"/>
        <v>0.15329183806267518</v>
      </c>
      <c r="M13">
        <f t="shared" si="2"/>
        <v>0.5351879714049772</v>
      </c>
      <c r="N13">
        <f t="shared" si="3"/>
        <v>0.98070867540571427</v>
      </c>
      <c r="O13">
        <f t="shared" si="4"/>
        <v>0.9829506305122252</v>
      </c>
      <c r="P13">
        <f t="shared" si="5"/>
        <v>0.99771915797506272</v>
      </c>
      <c r="Q13">
        <f t="shared" si="6"/>
        <v>0.15595069915443596</v>
      </c>
      <c r="R13">
        <f t="shared" si="7"/>
        <v>0.5382645464872694</v>
      </c>
      <c r="S13">
        <f t="shared" si="8"/>
        <v>80.659292035398238</v>
      </c>
      <c r="T13">
        <f t="shared" si="9"/>
        <v>0.2149032001050547</v>
      </c>
      <c r="U13">
        <f t="shared" si="10"/>
        <v>214.90320010505471</v>
      </c>
    </row>
    <row r="14" spans="1:22">
      <c r="E14" s="1">
        <v>8.1191999999999993</v>
      </c>
      <c r="F14" s="1">
        <v>9.5250000000000004</v>
      </c>
      <c r="G14" s="1">
        <f t="shared" si="0"/>
        <v>10.659292035398231</v>
      </c>
      <c r="I14" s="1">
        <v>75</v>
      </c>
      <c r="J14" s="1">
        <v>7.7882999999999996</v>
      </c>
      <c r="K14" s="1">
        <v>41.119500000000002</v>
      </c>
      <c r="L14">
        <f t="shared" si="1"/>
        <v>0.18940648597380802</v>
      </c>
      <c r="M14">
        <f t="shared" si="2"/>
        <v>0.57429047806338362</v>
      </c>
      <c r="N14">
        <f t="shared" si="3"/>
        <v>0.9799023230031999</v>
      </c>
      <c r="O14">
        <f t="shared" si="4"/>
        <v>0.98273572700484113</v>
      </c>
      <c r="P14">
        <f t="shared" si="5"/>
        <v>0.99711681999159951</v>
      </c>
      <c r="Q14">
        <f t="shared" si="6"/>
        <v>0.1927338965797821</v>
      </c>
      <c r="R14">
        <f t="shared" si="7"/>
        <v>0.5776339366433858</v>
      </c>
      <c r="S14">
        <f t="shared" si="8"/>
        <v>85.659292035398238</v>
      </c>
      <c r="T14">
        <f t="shared" si="9"/>
        <v>0.22337533338002846</v>
      </c>
      <c r="U14">
        <f t="shared" si="10"/>
        <v>223.37533338002845</v>
      </c>
    </row>
    <row r="15" spans="1:22">
      <c r="E15" s="1">
        <v>8.1191999999999993</v>
      </c>
      <c r="F15" s="1">
        <v>9.5250000000000004</v>
      </c>
      <c r="G15" s="1">
        <f t="shared" si="0"/>
        <v>10.659292035398231</v>
      </c>
      <c r="I15" s="1">
        <v>80</v>
      </c>
      <c r="J15" s="1">
        <v>8.6645000000000003</v>
      </c>
      <c r="K15" s="1">
        <v>38.0565</v>
      </c>
      <c r="L15">
        <f t="shared" si="1"/>
        <v>0.22767464165122911</v>
      </c>
      <c r="M15">
        <f t="shared" si="2"/>
        <v>0.61062074377072961</v>
      </c>
      <c r="N15">
        <f t="shared" si="3"/>
        <v>0.97999292489453127</v>
      </c>
      <c r="O15">
        <f t="shared" si="4"/>
        <v>0.98310513347774664</v>
      </c>
      <c r="P15">
        <f t="shared" si="5"/>
        <v>0.99683430746393731</v>
      </c>
      <c r="Q15">
        <f t="shared" si="6"/>
        <v>0.23158727779787625</v>
      </c>
      <c r="R15">
        <f t="shared" si="7"/>
        <v>0.6140987771971399</v>
      </c>
      <c r="S15">
        <f t="shared" si="8"/>
        <v>90.659292035398238</v>
      </c>
      <c r="T15">
        <f t="shared" si="9"/>
        <v>0.21724818589626932</v>
      </c>
      <c r="U15">
        <f t="shared" si="10"/>
        <v>217.24818589626932</v>
      </c>
    </row>
    <row r="16" spans="1:22">
      <c r="E16" s="1">
        <v>8.1191999999999993</v>
      </c>
      <c r="F16" s="1">
        <v>9.5250000000000004</v>
      </c>
      <c r="G16" s="1">
        <f t="shared" si="0"/>
        <v>10.659292035398231</v>
      </c>
      <c r="I16" s="1">
        <v>85</v>
      </c>
      <c r="J16" s="1">
        <v>9.5405999999999995</v>
      </c>
      <c r="K16" s="1">
        <v>35.369</v>
      </c>
      <c r="L16">
        <f t="shared" si="1"/>
        <v>0.26974469167915405</v>
      </c>
      <c r="M16">
        <f t="shared" si="2"/>
        <v>0.64612662235551466</v>
      </c>
      <c r="N16">
        <f t="shared" si="3"/>
        <v>0.98013841193245677</v>
      </c>
      <c r="O16">
        <f t="shared" si="4"/>
        <v>0.98344317853030505</v>
      </c>
      <c r="P16">
        <f t="shared" si="5"/>
        <v>0.99663959578957373</v>
      </c>
      <c r="Q16">
        <f t="shared" si="6"/>
        <v>0.27428599594566389</v>
      </c>
      <c r="R16">
        <f t="shared" si="7"/>
        <v>0.64973243105182887</v>
      </c>
      <c r="S16">
        <f t="shared" si="8"/>
        <v>95.659292035398238</v>
      </c>
      <c r="T16">
        <f t="shared" si="9"/>
        <v>0.21066025185295387</v>
      </c>
      <c r="U16">
        <f t="shared" si="10"/>
        <v>210.66025185295388</v>
      </c>
    </row>
    <row r="17" spans="5:21">
      <c r="E17" s="1">
        <v>8.1191999999999993</v>
      </c>
      <c r="F17" s="1">
        <v>9.5250000000000004</v>
      </c>
      <c r="G17" s="1">
        <f t="shared" si="0"/>
        <v>10.659292035398231</v>
      </c>
      <c r="I17" s="1">
        <v>90</v>
      </c>
      <c r="J17" s="1">
        <v>10.741099999999999</v>
      </c>
      <c r="K17" s="1">
        <v>33.293999999999997</v>
      </c>
      <c r="L17">
        <f t="shared" si="1"/>
        <v>0.3226136841472938</v>
      </c>
      <c r="M17">
        <f t="shared" si="2"/>
        <v>0.68584755524494079</v>
      </c>
      <c r="N17">
        <f t="shared" si="3"/>
        <v>0.97957715093296294</v>
      </c>
      <c r="O17">
        <f t="shared" si="4"/>
        <v>0.9831753011051122</v>
      </c>
      <c r="P17">
        <f t="shared" si="5"/>
        <v>0.99634027607477038</v>
      </c>
      <c r="Q17">
        <f t="shared" si="6"/>
        <v>0.32813444742221293</v>
      </c>
      <c r="R17">
        <f t="shared" si="7"/>
        <v>0.68973766364357192</v>
      </c>
      <c r="S17">
        <f t="shared" si="8"/>
        <v>100.65929203539824</v>
      </c>
      <c r="T17">
        <f t="shared" si="9"/>
        <v>0.21210050629295038</v>
      </c>
      <c r="U17">
        <f t="shared" si="10"/>
        <v>212.10050629295037</v>
      </c>
    </row>
    <row r="18" spans="5:21">
      <c r="F18" s="1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0C1A-D646-4178-B301-1A07E2FCCCCA}">
  <dimension ref="A1:V16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7" width="12.33203125" bestFit="1" customWidth="1"/>
    <col min="18" max="18" width="10.25" bestFit="1" customWidth="1"/>
    <col min="19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68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67</v>
      </c>
      <c r="B2" s="2">
        <v>3.8132999999999999</v>
      </c>
      <c r="C2" s="2">
        <v>25.063300000000002</v>
      </c>
      <c r="D2" s="2">
        <v>46</v>
      </c>
      <c r="E2" s="2">
        <v>8.1541669999999993</v>
      </c>
      <c r="F2" s="2">
        <v>9.5299999999999994</v>
      </c>
      <c r="G2" s="2">
        <f>0.05784/0.0069</f>
        <v>8.3826086956521753</v>
      </c>
      <c r="H2" s="2" t="s">
        <v>9</v>
      </c>
      <c r="I2" s="2">
        <v>46</v>
      </c>
      <c r="J2" s="2">
        <v>3.2989000000000002</v>
      </c>
      <c r="K2" s="2">
        <v>66.218599999999995</v>
      </c>
      <c r="L2" s="3">
        <f>J2:J25/K2:K25</f>
        <v>4.981832898913599E-2</v>
      </c>
      <c r="M2" s="3">
        <f>(L2:L25)^(1/3)</f>
        <v>0.36795642055700967</v>
      </c>
      <c r="N2" s="3">
        <f>1-((3/10)*(J2:J25/I2:I25)^2)-((3/2)*((J2:J25*E2)/(I2:I25)^2))</f>
        <v>0.97938823504846406</v>
      </c>
      <c r="O2" s="3">
        <f>1-(F2/I2:I25)^3-((9/8)*(1-(F2/I2:I25)^2)*((J2:J25*E2)/I2:I25^2))-((9/35)*(J2:J25/I2:I25)^2)</f>
        <v>0.97609758625464071</v>
      </c>
      <c r="P2" s="3">
        <f>N2:N25/O2:O25</f>
        <v>1.0033712293116612</v>
      </c>
      <c r="Q2" s="3">
        <f>L2:L25/O2:O25</f>
        <v>5.1038266758032504E-2</v>
      </c>
      <c r="R2" s="3">
        <f>Q2:Q25^(1/3)</f>
        <v>0.37093570510080814</v>
      </c>
      <c r="S2" s="3">
        <f>I2:I25+G2</f>
        <v>54.382608695652173</v>
      </c>
      <c r="T2" s="3">
        <f>(P2:P25*3*K2:K25*J2:J25)/(2*25.0633*S2:S25)</f>
        <v>0.24121469365233192</v>
      </c>
      <c r="U2" s="3">
        <f>T2:T25*1000</f>
        <v>241.21469365233193</v>
      </c>
      <c r="V2">
        <f>AVERAGE(U3:U16)</f>
        <v>230.66956993591333</v>
      </c>
    </row>
    <row r="3" spans="1:22">
      <c r="E3" s="1">
        <v>8.1541669999999993</v>
      </c>
      <c r="F3" s="1">
        <v>9.5299999999999994</v>
      </c>
      <c r="G3" s="1">
        <f t="shared" ref="G3:G16" si="0">0.05784/0.0069</f>
        <v>8.3826086956521753</v>
      </c>
      <c r="I3" s="1">
        <v>47</v>
      </c>
      <c r="J3" s="1">
        <v>3.4661</v>
      </c>
      <c r="K3" s="1">
        <v>63.3157</v>
      </c>
      <c r="L3">
        <f t="shared" ref="L3:L16" si="1">J3:J26/K3:K26</f>
        <v>5.4743136378496961E-2</v>
      </c>
      <c r="M3">
        <f t="shared" ref="M3:M16" si="2">(L3:L26)^(1/3)</f>
        <v>0.37970229771583641</v>
      </c>
      <c r="N3">
        <f t="shared" ref="N3:N16" si="3">1-((3/10)*(J3:J26/I3:I26)^2)-((3/2)*((J3:J26*E3)/(I3:I26)^2))</f>
        <v>0.97917659931143053</v>
      </c>
      <c r="O3">
        <f t="shared" ref="O3:O16" si="4">1-(F3/I3:I26)^3-((9/8)*(1-(F3/I3:I26)^2)*((J3:J26*E3)/I3:I26^2))-((9/35)*(J3:J26/I3:I26)^2)</f>
        <v>0.97646290118360746</v>
      </c>
      <c r="P3">
        <f t="shared" ref="P3:P16" si="5">N3:N26/O3:O26</f>
        <v>1.002779110322096</v>
      </c>
      <c r="Q3">
        <f t="shared" ref="Q3:Q16" si="6">L3:L26/O3:O26</f>
        <v>5.6062689439753156E-2</v>
      </c>
      <c r="R3">
        <f t="shared" ref="R3:R16" si="7">Q3:Q26^(1/3)</f>
        <v>0.38272894591567597</v>
      </c>
      <c r="S3">
        <f t="shared" ref="S3:S16" si="8">I3:I26+G3</f>
        <v>55.382608695652173</v>
      </c>
      <c r="T3">
        <f t="shared" ref="T3:T16" si="9">(P3:P26*3*K3:K26*J3:J26)/(2*25.0633*S3:S26)</f>
        <v>0.23781397783260899</v>
      </c>
      <c r="U3">
        <f t="shared" ref="U3:U16" si="10">T3:T26*1000</f>
        <v>237.813977832609</v>
      </c>
    </row>
    <row r="4" spans="1:22">
      <c r="E4" s="1">
        <v>8.1541669999999993</v>
      </c>
      <c r="F4" s="1">
        <v>9.5299999999999994</v>
      </c>
      <c r="G4" s="1">
        <f t="shared" si="0"/>
        <v>8.3826086956521753</v>
      </c>
      <c r="I4" s="1">
        <v>48</v>
      </c>
      <c r="J4" s="1">
        <v>3.5632000000000001</v>
      </c>
      <c r="K4" s="1">
        <v>61.537199999999999</v>
      </c>
      <c r="L4">
        <f t="shared" si="1"/>
        <v>5.7903187015333819E-2</v>
      </c>
      <c r="M4">
        <f t="shared" si="2"/>
        <v>0.38687216991069645</v>
      </c>
      <c r="N4">
        <f t="shared" si="3"/>
        <v>0.97943085501145843</v>
      </c>
      <c r="O4">
        <f t="shared" si="4"/>
        <v>0.97712897577802771</v>
      </c>
      <c r="P4">
        <f t="shared" si="5"/>
        <v>1.0023557578277709</v>
      </c>
      <c r="Q4">
        <f t="shared" si="6"/>
        <v>5.9258489360863621E-2</v>
      </c>
      <c r="R4">
        <f t="shared" si="7"/>
        <v>0.38986734335697948</v>
      </c>
      <c r="S4">
        <f t="shared" si="8"/>
        <v>56.382608695652173</v>
      </c>
      <c r="T4">
        <f t="shared" si="9"/>
        <v>0.23329619810685437</v>
      </c>
      <c r="U4">
        <f t="shared" si="10"/>
        <v>233.29619810685438</v>
      </c>
    </row>
    <row r="5" spans="1:22">
      <c r="E5" s="1">
        <v>8.1541669999999993</v>
      </c>
      <c r="F5" s="1">
        <v>9.5299999999999994</v>
      </c>
      <c r="G5" s="1">
        <f t="shared" si="0"/>
        <v>8.3826086956521753</v>
      </c>
      <c r="I5" s="1">
        <v>49</v>
      </c>
      <c r="J5" s="1">
        <v>3.7212999999999998</v>
      </c>
      <c r="K5" s="1">
        <v>60.1539</v>
      </c>
      <c r="L5">
        <f t="shared" si="1"/>
        <v>6.186298810218456E-2</v>
      </c>
      <c r="M5">
        <f t="shared" si="2"/>
        <v>0.3954973985021219</v>
      </c>
      <c r="N5">
        <f t="shared" si="3"/>
        <v>0.97931254702513526</v>
      </c>
      <c r="O5">
        <f t="shared" si="4"/>
        <v>0.97748000589998219</v>
      </c>
      <c r="P5">
        <f t="shared" si="5"/>
        <v>1.0018747607256333</v>
      </c>
      <c r="Q5">
        <f t="shared" si="6"/>
        <v>6.3288238868094565E-2</v>
      </c>
      <c r="R5">
        <f t="shared" si="7"/>
        <v>0.39851163308728837</v>
      </c>
      <c r="S5">
        <f t="shared" si="8"/>
        <v>57.382608695652173</v>
      </c>
      <c r="T5">
        <f t="shared" si="9"/>
        <v>0.23390775838236688</v>
      </c>
      <c r="U5">
        <f t="shared" si="10"/>
        <v>233.90775838236689</v>
      </c>
    </row>
    <row r="6" spans="1:22">
      <c r="E6" s="1">
        <v>8.1541669999999993</v>
      </c>
      <c r="F6" s="1">
        <v>9.5299999999999994</v>
      </c>
      <c r="G6" s="1">
        <f t="shared" si="0"/>
        <v>8.3826086956521753</v>
      </c>
      <c r="I6" s="1">
        <v>50</v>
      </c>
      <c r="J6" s="1">
        <v>3.8925999999999998</v>
      </c>
      <c r="K6" s="1">
        <v>60.582099999999997</v>
      </c>
      <c r="L6">
        <f t="shared" si="1"/>
        <v>6.4253302543160445E-2</v>
      </c>
      <c r="M6">
        <f t="shared" si="2"/>
        <v>0.40052701895418291</v>
      </c>
      <c r="N6">
        <f t="shared" si="3"/>
        <v>0.97913717355027996</v>
      </c>
      <c r="O6">
        <f t="shared" si="4"/>
        <v>0.97775277186401344</v>
      </c>
      <c r="P6">
        <f t="shared" si="5"/>
        <v>1.0014159015715469</v>
      </c>
      <c r="Q6">
        <f t="shared" si="6"/>
        <v>6.5715285491511594E-2</v>
      </c>
      <c r="R6">
        <f t="shared" si="7"/>
        <v>0.40354205350164912</v>
      </c>
      <c r="S6">
        <f t="shared" si="8"/>
        <v>58.382608695652173</v>
      </c>
      <c r="T6">
        <f t="shared" si="9"/>
        <v>0.2420851195559949</v>
      </c>
      <c r="U6">
        <f t="shared" si="10"/>
        <v>242.08511955599491</v>
      </c>
    </row>
    <row r="7" spans="1:22">
      <c r="E7" s="1">
        <v>8.1541669999999993</v>
      </c>
      <c r="F7" s="1">
        <v>9.5299999999999994</v>
      </c>
      <c r="G7" s="1">
        <f t="shared" si="0"/>
        <v>8.3826086956521753</v>
      </c>
      <c r="I7" s="1">
        <v>51</v>
      </c>
      <c r="J7" s="1">
        <v>4.0145</v>
      </c>
      <c r="K7" s="1">
        <v>60.713799999999999</v>
      </c>
      <c r="L7">
        <f t="shared" si="1"/>
        <v>6.6121705444231793E-2</v>
      </c>
      <c r="M7">
        <f t="shared" si="2"/>
        <v>0.404372254031659</v>
      </c>
      <c r="N7">
        <f t="shared" si="3"/>
        <v>0.97926289188494808</v>
      </c>
      <c r="O7">
        <f t="shared" si="4"/>
        <v>0.97821758095352029</v>
      </c>
      <c r="P7">
        <f t="shared" si="5"/>
        <v>1.0010685873488481</v>
      </c>
      <c r="Q7">
        <f t="shared" si="6"/>
        <v>6.7594067753085643E-2</v>
      </c>
      <c r="R7">
        <f t="shared" si="7"/>
        <v>0.40735169481859457</v>
      </c>
      <c r="S7">
        <f t="shared" si="8"/>
        <v>59.382608695652173</v>
      </c>
      <c r="T7">
        <f t="shared" si="9"/>
        <v>0.24591014501269304</v>
      </c>
      <c r="U7">
        <f t="shared" si="10"/>
        <v>245.91014501269305</v>
      </c>
    </row>
    <row r="8" spans="1:22">
      <c r="E8" s="1">
        <v>8.1541669999999993</v>
      </c>
      <c r="F8" s="1">
        <v>9.5299999999999994</v>
      </c>
      <c r="G8" s="1">
        <f t="shared" si="0"/>
        <v>8.3826086956521753</v>
      </c>
      <c r="I8" s="1">
        <v>52</v>
      </c>
      <c r="J8" s="1">
        <v>4.1741999999999999</v>
      </c>
      <c r="K8" s="1">
        <v>60.055100000000003</v>
      </c>
      <c r="L8">
        <f t="shared" si="1"/>
        <v>6.9506170167063244E-2</v>
      </c>
      <c r="M8">
        <f t="shared" si="2"/>
        <v>0.41115709263520445</v>
      </c>
      <c r="N8">
        <f t="shared" si="3"/>
        <v>0.9791853293161612</v>
      </c>
      <c r="O8">
        <f t="shared" si="4"/>
        <v>0.97850193966761134</v>
      </c>
      <c r="P8">
        <f t="shared" si="5"/>
        <v>1.0006984039794362</v>
      </c>
      <c r="Q8">
        <f t="shared" si="6"/>
        <v>7.1033247200995728E-2</v>
      </c>
      <c r="R8">
        <f t="shared" si="7"/>
        <v>0.41414639894067329</v>
      </c>
      <c r="S8">
        <f t="shared" si="8"/>
        <v>60.382608695652173</v>
      </c>
      <c r="T8">
        <f t="shared" si="9"/>
        <v>0.24863799216724841</v>
      </c>
      <c r="U8">
        <f t="shared" si="10"/>
        <v>248.6379921672484</v>
      </c>
    </row>
    <row r="9" spans="1:22">
      <c r="E9" s="1">
        <v>8.1541669999999993</v>
      </c>
      <c r="F9" s="1">
        <v>9.5299999999999994</v>
      </c>
      <c r="G9" s="1">
        <f t="shared" si="0"/>
        <v>8.3826086956521753</v>
      </c>
      <c r="I9" s="1">
        <v>55</v>
      </c>
      <c r="J9" s="1">
        <v>4.5201000000000002</v>
      </c>
      <c r="K9" s="1">
        <v>54.818300000000001</v>
      </c>
      <c r="L9">
        <f t="shared" si="1"/>
        <v>8.2456041139546465E-2</v>
      </c>
      <c r="M9">
        <f t="shared" si="2"/>
        <v>0.43525205129180361</v>
      </c>
      <c r="N9">
        <f t="shared" si="3"/>
        <v>0.9796972341857686</v>
      </c>
      <c r="O9">
        <f t="shared" si="4"/>
        <v>0.97976512796255211</v>
      </c>
      <c r="P9">
        <f t="shared" si="5"/>
        <v>0.99993070402809225</v>
      </c>
      <c r="Q9">
        <f t="shared" si="6"/>
        <v>8.4158987482046865E-2</v>
      </c>
      <c r="R9">
        <f t="shared" si="7"/>
        <v>0.43822804489812317</v>
      </c>
      <c r="S9">
        <f t="shared" si="8"/>
        <v>63.382608695652173</v>
      </c>
      <c r="T9">
        <f t="shared" si="9"/>
        <v>0.23395180865951884</v>
      </c>
      <c r="U9">
        <f t="shared" si="10"/>
        <v>233.95180865951883</v>
      </c>
    </row>
    <row r="10" spans="1:22">
      <c r="E10" s="1">
        <v>8.1541669999999993</v>
      </c>
      <c r="F10" s="1">
        <v>9.5299999999999994</v>
      </c>
      <c r="G10" s="1">
        <f t="shared" si="0"/>
        <v>8.3826086956521753</v>
      </c>
      <c r="I10" s="1">
        <v>60</v>
      </c>
      <c r="J10" s="1">
        <v>5.2957999999999998</v>
      </c>
      <c r="K10" s="1">
        <v>50.833100000000002</v>
      </c>
      <c r="L10">
        <f t="shared" si="1"/>
        <v>0.10418015033511628</v>
      </c>
      <c r="M10">
        <f t="shared" si="2"/>
        <v>0.47053831535310109</v>
      </c>
      <c r="N10">
        <f t="shared" si="3"/>
        <v>0.97967002619724997</v>
      </c>
      <c r="O10">
        <f t="shared" si="4"/>
        <v>0.9808355047444075</v>
      </c>
      <c r="P10">
        <f t="shared" si="5"/>
        <v>0.99881174922653193</v>
      </c>
      <c r="Q10">
        <f t="shared" si="6"/>
        <v>0.10621572101660841</v>
      </c>
      <c r="R10">
        <f t="shared" si="7"/>
        <v>0.47358317759714086</v>
      </c>
      <c r="S10">
        <f t="shared" si="8"/>
        <v>68.382608695652181</v>
      </c>
      <c r="T10">
        <f t="shared" si="9"/>
        <v>0.23532558946851964</v>
      </c>
      <c r="U10">
        <f t="shared" si="10"/>
        <v>235.32558946851964</v>
      </c>
    </row>
    <row r="11" spans="1:22">
      <c r="E11" s="1">
        <v>8.1541669999999993</v>
      </c>
      <c r="F11" s="1">
        <v>9.5299999999999994</v>
      </c>
      <c r="G11" s="1">
        <f t="shared" si="0"/>
        <v>8.3826086956521753</v>
      </c>
      <c r="I11" s="1">
        <v>65</v>
      </c>
      <c r="J11" s="1">
        <v>6.0548999999999999</v>
      </c>
      <c r="K11" s="1">
        <v>47.835999999999999</v>
      </c>
      <c r="L11">
        <f t="shared" si="1"/>
        <v>0.12657621874738692</v>
      </c>
      <c r="M11">
        <f t="shared" si="2"/>
        <v>0.50209285270924031</v>
      </c>
      <c r="N11">
        <f t="shared" si="3"/>
        <v>0.9798680371939763</v>
      </c>
      <c r="O11">
        <f t="shared" si="4"/>
        <v>0.98175305783283329</v>
      </c>
      <c r="P11">
        <f t="shared" si="5"/>
        <v>0.99807994421426294</v>
      </c>
      <c r="Q11">
        <f t="shared" si="6"/>
        <v>0.12892877464196248</v>
      </c>
      <c r="R11">
        <f t="shared" si="7"/>
        <v>0.50518442388948892</v>
      </c>
      <c r="S11">
        <f t="shared" si="8"/>
        <v>73.382608695652181</v>
      </c>
      <c r="T11">
        <f t="shared" si="9"/>
        <v>0.2357691734473282</v>
      </c>
      <c r="U11">
        <f t="shared" si="10"/>
        <v>235.7691734473282</v>
      </c>
    </row>
    <row r="12" spans="1:22">
      <c r="E12" s="1">
        <v>8.1541669999999993</v>
      </c>
      <c r="F12" s="1">
        <v>9.5299999999999994</v>
      </c>
      <c r="G12" s="1">
        <f t="shared" si="0"/>
        <v>8.3826086956521753</v>
      </c>
      <c r="I12" s="1">
        <v>70</v>
      </c>
      <c r="J12" s="1">
        <v>6.7466999999999997</v>
      </c>
      <c r="K12" s="1">
        <v>44.246000000000002</v>
      </c>
      <c r="L12">
        <f t="shared" si="1"/>
        <v>0.15248158025584233</v>
      </c>
      <c r="M12">
        <f t="shared" si="2"/>
        <v>0.53424335377745391</v>
      </c>
      <c r="N12">
        <f t="shared" si="3"/>
        <v>0.98037225183360199</v>
      </c>
      <c r="O12">
        <f t="shared" si="4"/>
        <v>0.98269131897201711</v>
      </c>
      <c r="P12">
        <f t="shared" si="5"/>
        <v>0.99764008586049069</v>
      </c>
      <c r="Q12">
        <f t="shared" si="6"/>
        <v>0.15516732193721999</v>
      </c>
      <c r="R12">
        <f t="shared" si="7"/>
        <v>0.53736175647860074</v>
      </c>
      <c r="S12">
        <f t="shared" si="8"/>
        <v>78.382608695652181</v>
      </c>
      <c r="T12">
        <f t="shared" si="9"/>
        <v>0.22739064753556459</v>
      </c>
      <c r="U12">
        <f t="shared" si="10"/>
        <v>227.3906475355646</v>
      </c>
    </row>
    <row r="13" spans="1:22">
      <c r="E13" s="1">
        <v>8.1541669999999993</v>
      </c>
      <c r="F13" s="1">
        <v>9.5299999999999994</v>
      </c>
      <c r="G13" s="1">
        <f t="shared" si="0"/>
        <v>8.3826086956521753</v>
      </c>
      <c r="I13" s="1">
        <v>75</v>
      </c>
      <c r="J13" s="1">
        <v>7.7183000000000002</v>
      </c>
      <c r="K13" s="1">
        <v>42.335700000000003</v>
      </c>
      <c r="L13">
        <f t="shared" si="1"/>
        <v>0.18231185500653113</v>
      </c>
      <c r="M13">
        <f t="shared" si="2"/>
        <v>0.56702860711093883</v>
      </c>
      <c r="N13">
        <f t="shared" si="3"/>
        <v>0.98003980316424</v>
      </c>
      <c r="O13">
        <f t="shared" si="4"/>
        <v>0.98284106270575433</v>
      </c>
      <c r="P13">
        <f t="shared" si="5"/>
        <v>0.9971498346499662</v>
      </c>
      <c r="Q13">
        <f t="shared" si="6"/>
        <v>0.18549474775161298</v>
      </c>
      <c r="R13">
        <f t="shared" si="7"/>
        <v>0.5703094121408111</v>
      </c>
      <c r="S13">
        <f t="shared" si="8"/>
        <v>83.382608695652181</v>
      </c>
      <c r="T13">
        <f t="shared" si="9"/>
        <v>0.23386560272095358</v>
      </c>
      <c r="U13">
        <f t="shared" si="10"/>
        <v>233.86560272095358</v>
      </c>
    </row>
    <row r="14" spans="1:22">
      <c r="E14" s="1">
        <v>8.1541669999999993</v>
      </c>
      <c r="F14" s="1">
        <v>9.5299999999999994</v>
      </c>
      <c r="G14" s="1">
        <f t="shared" si="0"/>
        <v>8.3826086956521753</v>
      </c>
      <c r="I14" s="1">
        <v>80</v>
      </c>
      <c r="J14" s="1">
        <v>8.2815999999999992</v>
      </c>
      <c r="K14" s="1">
        <v>37.296599999999998</v>
      </c>
      <c r="L14">
        <f t="shared" si="1"/>
        <v>0.22204704986513515</v>
      </c>
      <c r="M14">
        <f t="shared" si="2"/>
        <v>0.605547667791135</v>
      </c>
      <c r="N14">
        <f t="shared" si="3"/>
        <v>0.98095784473299996</v>
      </c>
      <c r="O14">
        <f t="shared" si="4"/>
        <v>0.98385190365923392</v>
      </c>
      <c r="P14">
        <f t="shared" si="5"/>
        <v>0.99705844048736392</v>
      </c>
      <c r="Q14">
        <f t="shared" si="6"/>
        <v>0.22569153857331273</v>
      </c>
      <c r="R14">
        <f t="shared" si="7"/>
        <v>0.60884268481668224</v>
      </c>
      <c r="S14">
        <f t="shared" si="8"/>
        <v>88.382608695652181</v>
      </c>
      <c r="T14">
        <f t="shared" si="9"/>
        <v>0.20854044598783791</v>
      </c>
      <c r="U14">
        <f t="shared" si="10"/>
        <v>208.54044598783793</v>
      </c>
    </row>
    <row r="15" spans="1:22">
      <c r="E15" s="1">
        <v>8.1541669999999993</v>
      </c>
      <c r="F15" s="1">
        <v>9.5299999999999994</v>
      </c>
      <c r="G15" s="1">
        <f t="shared" si="0"/>
        <v>8.3826086956521753</v>
      </c>
      <c r="I15" s="1">
        <v>85</v>
      </c>
      <c r="J15" s="1">
        <v>9.2713999999999999</v>
      </c>
      <c r="K15" s="1">
        <v>34.266500000000001</v>
      </c>
      <c r="L15">
        <f t="shared" si="1"/>
        <v>0.27056746384953234</v>
      </c>
      <c r="M15">
        <f t="shared" si="2"/>
        <v>0.64678289156758961</v>
      </c>
      <c r="N15">
        <f t="shared" si="3"/>
        <v>0.98073515940848444</v>
      </c>
      <c r="O15">
        <f t="shared" si="4"/>
        <v>0.98390756727033701</v>
      </c>
      <c r="P15">
        <f t="shared" si="5"/>
        <v>0.99677570539410143</v>
      </c>
      <c r="Q15">
        <f t="shared" si="6"/>
        <v>0.2749927664446874</v>
      </c>
      <c r="R15">
        <f t="shared" si="7"/>
        <v>0.6502900216180213</v>
      </c>
      <c r="S15">
        <f t="shared" si="8"/>
        <v>93.382608695652181</v>
      </c>
      <c r="T15">
        <f t="shared" si="9"/>
        <v>0.20295488774900075</v>
      </c>
      <c r="U15">
        <f t="shared" si="10"/>
        <v>202.95488774900076</v>
      </c>
    </row>
    <row r="16" spans="1:22">
      <c r="E16" s="1">
        <v>8.1541669999999993</v>
      </c>
      <c r="F16" s="1">
        <v>9.5299999999999994</v>
      </c>
      <c r="G16" s="1">
        <f t="shared" si="0"/>
        <v>8.3826086956521753</v>
      </c>
      <c r="I16" s="1">
        <v>90</v>
      </c>
      <c r="J16" s="1">
        <v>10.313800000000001</v>
      </c>
      <c r="K16" s="1">
        <v>33.574800000000003</v>
      </c>
      <c r="L16">
        <f t="shared" si="1"/>
        <v>0.30718872487699106</v>
      </c>
      <c r="M16">
        <f t="shared" si="2"/>
        <v>0.6747378770995599</v>
      </c>
      <c r="N16">
        <f t="shared" si="3"/>
        <v>0.98048604783470372</v>
      </c>
      <c r="O16">
        <f t="shared" si="4"/>
        <v>0.983886108791862</v>
      </c>
      <c r="P16">
        <f t="shared" si="5"/>
        <v>0.99654425352002041</v>
      </c>
      <c r="Q16">
        <f t="shared" si="6"/>
        <v>0.31221980077978301</v>
      </c>
      <c r="R16">
        <f t="shared" si="7"/>
        <v>0.67840152277975418</v>
      </c>
      <c r="S16">
        <f t="shared" si="8"/>
        <v>98.382608695652181</v>
      </c>
      <c r="T16">
        <f t="shared" si="9"/>
        <v>0.20992463247629678</v>
      </c>
      <c r="U16">
        <f t="shared" si="10"/>
        <v>209.92463247629678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138D-8A5A-4C92-9516-F7BF0D5BCD51}">
  <dimension ref="A1:V17"/>
  <sheetViews>
    <sheetView topLeftCell="J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8" width="12.33203125" bestFit="1" customWidth="1"/>
    <col min="19" max="19" width="11.25" bestFit="1" customWidth="1"/>
    <col min="20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70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69</v>
      </c>
      <c r="B2" s="2">
        <v>3.8733</v>
      </c>
      <c r="C2" s="2">
        <v>25.103300000000001</v>
      </c>
      <c r="D2" s="2">
        <v>46</v>
      </c>
      <c r="E2" s="2">
        <v>8.2066700000000008</v>
      </c>
      <c r="F2" s="2">
        <v>9.5250000000000004</v>
      </c>
      <c r="G2" s="2">
        <f>0.06718/0.00691</f>
        <v>9.722141823444284</v>
      </c>
      <c r="H2" s="2" t="s">
        <v>9</v>
      </c>
      <c r="I2" s="2">
        <v>46</v>
      </c>
      <c r="J2" s="2">
        <v>3.4579</v>
      </c>
      <c r="K2" s="2">
        <v>65.418599999999998</v>
      </c>
      <c r="L2" s="3">
        <f>J2:J25/K2:K25</f>
        <v>5.2858055660011068E-2</v>
      </c>
      <c r="M2" s="3">
        <f>(L2:L25)^(1/3)</f>
        <v>0.3752929400752571</v>
      </c>
      <c r="N2" s="3">
        <f>1-((3/10)*(J2:J25/I2:I25)^2)-((3/2)*((J2:J25*E2)/(I2:I25)^2))</f>
        <v>0.97818814366138951</v>
      </c>
      <c r="O2" s="3">
        <f>1-(F2/I2:I25)^3-((9/8)*(1-(F2/I2:I25)^2)*((J2:J25*E2)/I2:I25^2))-((9/35)*(J2:J25/I2:I25)^2)</f>
        <v>0.97522823624578225</v>
      </c>
      <c r="P2" s="3">
        <f>N2:N25/O2:O25</f>
        <v>1.0030350919975426</v>
      </c>
      <c r="Q2" s="3">
        <f>L2:L25/O2:O25</f>
        <v>5.4200702661658266E-2</v>
      </c>
      <c r="R2" s="3">
        <f>Q2:Q25^(1/3)</f>
        <v>0.37844401287974455</v>
      </c>
      <c r="S2" s="3">
        <f>I2:I25+G2</f>
        <v>55.722141823444282</v>
      </c>
      <c r="T2" s="3">
        <f>(P2:P25*3*K2:K25*J2:J25)/(2*25.1033*S2:S25)</f>
        <v>0.24331139254134335</v>
      </c>
      <c r="U2" s="3">
        <f>T2:T25*1000</f>
        <v>243.31139254134334</v>
      </c>
      <c r="V2">
        <f>AVERAGE(U3:U17)</f>
        <v>240.61272847042022</v>
      </c>
    </row>
    <row r="3" spans="1:22">
      <c r="E3" s="1">
        <v>8.2066700000000008</v>
      </c>
      <c r="F3" s="1">
        <v>9.5250000000000004</v>
      </c>
      <c r="G3" s="1">
        <f t="shared" ref="G3:G17" si="0">0.06718/0.00691</f>
        <v>9.722141823444284</v>
      </c>
      <c r="I3" s="1">
        <v>47</v>
      </c>
      <c r="J3" s="1">
        <v>3.7263000000000002</v>
      </c>
      <c r="K3" s="1">
        <v>63.348700000000001</v>
      </c>
      <c r="L3">
        <f t="shared" ref="L3:L17" si="1">J3:J26/K3:K26</f>
        <v>5.882204370413284E-2</v>
      </c>
      <c r="M3">
        <f t="shared" ref="M3:M17" si="2">(L3:L26)^(1/3)</f>
        <v>0.38890784445868976</v>
      </c>
      <c r="N3">
        <f t="shared" ref="N3:N17" si="3">1-((3/10)*(J3:J26/I3:I26)^2)-((3/2)*((J3:J26*E3)/(I3:I26)^2))</f>
        <v>0.97734886141308286</v>
      </c>
      <c r="O3">
        <f t="shared" ref="O3:O17" si="4">1-(F3/I3:I26)^3-((9/8)*(1-(F3/I3:I26)^2)*((J3:J26*E3)/I3:I26^2))-((9/35)*(J3:J26/I3:I26)^2)</f>
        <v>0.97512583137784026</v>
      </c>
      <c r="P3">
        <f t="shared" ref="P3:P17" si="5">N3:N26/O3:O26</f>
        <v>1.0022797365875351</v>
      </c>
      <c r="Q3">
        <f t="shared" ref="Q3:Q17" si="6">L3:L26/O3:O26</f>
        <v>6.0322516142371135E-2</v>
      </c>
      <c r="R3">
        <f t="shared" ref="R3:R17" si="7">Q3:Q26^(1/3)</f>
        <v>0.39218695992536967</v>
      </c>
      <c r="S3">
        <f t="shared" ref="S3:S17" si="8">I3:I26+G3</f>
        <v>56.722141823444282</v>
      </c>
      <c r="T3">
        <f t="shared" ref="T3:T17" si="9">(P3:P26*3*K3:K26*J3:J26)/(2*25.1033*S3:S26)</f>
        <v>0.2492368737443845</v>
      </c>
      <c r="U3">
        <f t="shared" ref="U3:U17" si="10">T3:T26*1000</f>
        <v>249.2368737443845</v>
      </c>
    </row>
    <row r="4" spans="1:22">
      <c r="E4" s="1">
        <v>8.2066700000000008</v>
      </c>
      <c r="F4" s="1">
        <v>9.5250000000000004</v>
      </c>
      <c r="G4" s="1">
        <f t="shared" si="0"/>
        <v>9.722141823444284</v>
      </c>
      <c r="I4" s="1">
        <v>48</v>
      </c>
      <c r="J4" s="1">
        <v>3.8843999999999999</v>
      </c>
      <c r="K4" s="1">
        <v>62.854599999999998</v>
      </c>
      <c r="L4">
        <f t="shared" si="1"/>
        <v>6.1799772808990912E-2</v>
      </c>
      <c r="M4">
        <f t="shared" si="2"/>
        <v>0.39536263830806767</v>
      </c>
      <c r="N4">
        <f t="shared" si="3"/>
        <v>0.97728144425781249</v>
      </c>
      <c r="O4">
        <f t="shared" si="4"/>
        <v>0.97554954981648589</v>
      </c>
      <c r="P4">
        <f t="shared" si="5"/>
        <v>1.0017753013587596</v>
      </c>
      <c r="Q4">
        <f t="shared" si="6"/>
        <v>6.3348676467142331E-2</v>
      </c>
      <c r="R4">
        <f t="shared" si="7"/>
        <v>0.39863844666299986</v>
      </c>
      <c r="S4">
        <f t="shared" si="8"/>
        <v>57.722141823444282</v>
      </c>
      <c r="T4">
        <f t="shared" si="9"/>
        <v>0.25319162592337074</v>
      </c>
      <c r="U4">
        <f t="shared" si="10"/>
        <v>253.19162592337074</v>
      </c>
    </row>
    <row r="5" spans="1:22">
      <c r="E5" s="1">
        <v>8.2066700000000008</v>
      </c>
      <c r="F5" s="1">
        <v>9.5250000000000004</v>
      </c>
      <c r="G5" s="1">
        <f t="shared" si="0"/>
        <v>9.722141823444284</v>
      </c>
      <c r="I5" s="1">
        <v>49</v>
      </c>
      <c r="J5" s="1">
        <v>4.0540000000000003</v>
      </c>
      <c r="K5" s="1">
        <v>62.097099999999998</v>
      </c>
      <c r="L5">
        <f t="shared" si="1"/>
        <v>6.5284852271684193E-2</v>
      </c>
      <c r="M5">
        <f t="shared" si="2"/>
        <v>0.40265905989809692</v>
      </c>
      <c r="N5">
        <f t="shared" si="3"/>
        <v>0.97716150142857139</v>
      </c>
      <c r="O5">
        <f t="shared" si="4"/>
        <v>0.97589490060485184</v>
      </c>
      <c r="P5">
        <f t="shared" si="5"/>
        <v>1.0012978865069737</v>
      </c>
      <c r="Q5">
        <f t="shared" si="6"/>
        <v>6.6897421260446344E-2</v>
      </c>
      <c r="R5">
        <f t="shared" si="7"/>
        <v>0.40594742631878444</v>
      </c>
      <c r="S5">
        <f t="shared" si="8"/>
        <v>58.722141823444282</v>
      </c>
      <c r="T5">
        <f t="shared" si="9"/>
        <v>0.2564938271531097</v>
      </c>
      <c r="U5">
        <f t="shared" si="10"/>
        <v>256.49382715310969</v>
      </c>
    </row>
    <row r="6" spans="1:22">
      <c r="E6" s="1">
        <v>8.2066700000000008</v>
      </c>
      <c r="F6" s="1">
        <v>9.5250000000000004</v>
      </c>
      <c r="G6" s="1">
        <f t="shared" si="0"/>
        <v>9.722141823444284</v>
      </c>
      <c r="I6" s="1">
        <v>50</v>
      </c>
      <c r="J6" s="1">
        <v>4.2401</v>
      </c>
      <c r="K6" s="1">
        <v>61.899500000000003</v>
      </c>
      <c r="L6">
        <f t="shared" si="1"/>
        <v>6.8499745555295269E-2</v>
      </c>
      <c r="M6">
        <f t="shared" si="2"/>
        <v>0.40916296723060924</v>
      </c>
      <c r="N6">
        <f t="shared" si="3"/>
        <v>0.97696432535860001</v>
      </c>
      <c r="O6">
        <f t="shared" si="4"/>
        <v>0.97614705789971656</v>
      </c>
      <c r="P6">
        <f t="shared" si="5"/>
        <v>1.0008372380496049</v>
      </c>
      <c r="Q6">
        <f t="shared" si="6"/>
        <v>7.0173592186693362E-2</v>
      </c>
      <c r="R6">
        <f t="shared" si="7"/>
        <v>0.41246892633844379</v>
      </c>
      <c r="S6">
        <f t="shared" si="8"/>
        <v>59.722141823444282</v>
      </c>
      <c r="T6">
        <f t="shared" si="9"/>
        <v>0.2628159777202479</v>
      </c>
      <c r="U6">
        <f t="shared" si="10"/>
        <v>262.81597772024787</v>
      </c>
    </row>
    <row r="7" spans="1:22">
      <c r="E7" s="1">
        <v>8.2066700000000008</v>
      </c>
      <c r="F7" s="1">
        <v>9.5250000000000004</v>
      </c>
      <c r="G7" s="1">
        <f t="shared" si="0"/>
        <v>9.722141823444284</v>
      </c>
      <c r="I7" s="1">
        <v>51</v>
      </c>
      <c r="J7" s="1">
        <v>4.3635999999999999</v>
      </c>
      <c r="K7" s="1">
        <v>60.549100000000003</v>
      </c>
      <c r="L7">
        <f t="shared" si="1"/>
        <v>7.2067132294286781E-2</v>
      </c>
      <c r="M7">
        <f t="shared" si="2"/>
        <v>0.41614602148240293</v>
      </c>
      <c r="N7">
        <f t="shared" si="3"/>
        <v>0.977151772662053</v>
      </c>
      <c r="O7">
        <f t="shared" si="4"/>
        <v>0.97665424644359422</v>
      </c>
      <c r="P7">
        <f t="shared" si="5"/>
        <v>1.0005094189886241</v>
      </c>
      <c r="Q7">
        <f t="shared" si="6"/>
        <v>7.3789811037747788E-2</v>
      </c>
      <c r="R7">
        <f t="shared" si="7"/>
        <v>0.41943577114717018</v>
      </c>
      <c r="S7">
        <f t="shared" si="8"/>
        <v>60.722141823444282</v>
      </c>
      <c r="T7">
        <f t="shared" si="9"/>
        <v>0.26012803950026325</v>
      </c>
      <c r="U7">
        <f t="shared" si="10"/>
        <v>260.12803950026324</v>
      </c>
    </row>
    <row r="8" spans="1:22">
      <c r="E8" s="1">
        <v>8.2066700000000008</v>
      </c>
      <c r="F8" s="1">
        <v>9.5250000000000004</v>
      </c>
      <c r="G8" s="1">
        <f t="shared" si="0"/>
        <v>9.722141823444284</v>
      </c>
      <c r="I8" s="1">
        <v>52</v>
      </c>
      <c r="J8" s="1">
        <v>4.4855</v>
      </c>
      <c r="K8" s="1">
        <v>59.067</v>
      </c>
      <c r="L8">
        <f t="shared" si="1"/>
        <v>7.5939187702101008E-2</v>
      </c>
      <c r="M8">
        <f t="shared" si="2"/>
        <v>0.42346935013565773</v>
      </c>
      <c r="N8">
        <f t="shared" si="3"/>
        <v>0.97734747022836543</v>
      </c>
      <c r="O8">
        <f t="shared" si="4"/>
        <v>0.97713940718770864</v>
      </c>
      <c r="P8">
        <f t="shared" si="5"/>
        <v>1.0002129307641534</v>
      </c>
      <c r="Q8">
        <f t="shared" si="6"/>
        <v>7.7715817357791886E-2</v>
      </c>
      <c r="R8">
        <f t="shared" si="7"/>
        <v>0.42674634123118715</v>
      </c>
      <c r="S8">
        <f t="shared" si="8"/>
        <v>61.722141823444282</v>
      </c>
      <c r="T8">
        <f t="shared" si="9"/>
        <v>0.2565474452604804</v>
      </c>
      <c r="U8">
        <f t="shared" si="10"/>
        <v>256.5474452604804</v>
      </c>
    </row>
    <row r="9" spans="1:22">
      <c r="E9" s="1">
        <v>8.2066700000000008</v>
      </c>
      <c r="F9" s="1">
        <v>9.5250000000000004</v>
      </c>
      <c r="G9" s="1">
        <f t="shared" si="0"/>
        <v>9.722141823444284</v>
      </c>
      <c r="I9" s="1">
        <v>53</v>
      </c>
      <c r="J9" s="1">
        <v>4.5810000000000004</v>
      </c>
      <c r="K9" s="1">
        <v>56.761499999999998</v>
      </c>
      <c r="L9">
        <f t="shared" si="1"/>
        <v>8.0706112417747958E-2</v>
      </c>
      <c r="M9">
        <f t="shared" si="2"/>
        <v>0.43215095393632535</v>
      </c>
      <c r="N9">
        <f t="shared" si="3"/>
        <v>0.97768323203809193</v>
      </c>
      <c r="O9">
        <f t="shared" si="4"/>
        <v>0.97770405866067023</v>
      </c>
      <c r="P9">
        <f t="shared" si="5"/>
        <v>0.99997869843906873</v>
      </c>
      <c r="Q9">
        <f t="shared" si="6"/>
        <v>8.2546565806738109E-2</v>
      </c>
      <c r="R9">
        <f t="shared" si="7"/>
        <v>0.43541127405854452</v>
      </c>
      <c r="S9">
        <f t="shared" si="8"/>
        <v>62.722141823444282</v>
      </c>
      <c r="T9">
        <f t="shared" si="9"/>
        <v>0.24771052913003888</v>
      </c>
      <c r="U9">
        <f t="shared" si="10"/>
        <v>247.71052913003888</v>
      </c>
    </row>
    <row r="10" spans="1:22">
      <c r="E10" s="1">
        <v>8.2066700000000008</v>
      </c>
      <c r="F10" s="1">
        <v>9.5250000000000004</v>
      </c>
      <c r="G10" s="1">
        <f t="shared" si="0"/>
        <v>9.722141823444284</v>
      </c>
      <c r="I10" s="1">
        <v>55</v>
      </c>
      <c r="J10" s="1">
        <v>4.7588999999999997</v>
      </c>
      <c r="K10" s="1">
        <v>55.345300000000002</v>
      </c>
      <c r="L10">
        <f t="shared" si="1"/>
        <v>8.5985621181925112E-2</v>
      </c>
      <c r="M10">
        <f t="shared" si="2"/>
        <v>0.44137589480550338</v>
      </c>
      <c r="N10">
        <f t="shared" si="3"/>
        <v>0.97838802593140506</v>
      </c>
      <c r="O10">
        <f t="shared" si="4"/>
        <v>0.97879193538128773</v>
      </c>
      <c r="P10">
        <f t="shared" si="5"/>
        <v>0.99958733880482442</v>
      </c>
      <c r="Q10">
        <f t="shared" si="6"/>
        <v>8.7848722566792992E-2</v>
      </c>
      <c r="R10">
        <f t="shared" si="7"/>
        <v>0.44454099465186991</v>
      </c>
      <c r="S10">
        <f t="shared" si="8"/>
        <v>64.722141823444289</v>
      </c>
      <c r="T10">
        <f t="shared" si="9"/>
        <v>0.24306119762330106</v>
      </c>
      <c r="U10">
        <f t="shared" si="10"/>
        <v>243.06119762330107</v>
      </c>
    </row>
    <row r="11" spans="1:22">
      <c r="E11" s="1">
        <v>8.2066700000000008</v>
      </c>
      <c r="F11" s="1">
        <v>9.5250000000000004</v>
      </c>
      <c r="G11" s="1">
        <f t="shared" si="0"/>
        <v>9.722141823444284</v>
      </c>
      <c r="I11" s="1">
        <v>60</v>
      </c>
      <c r="J11" s="1">
        <v>5.6003999999999996</v>
      </c>
      <c r="K11" s="1">
        <v>50.800199999999997</v>
      </c>
      <c r="L11">
        <f t="shared" si="1"/>
        <v>0.11024366045802969</v>
      </c>
      <c r="M11">
        <f t="shared" si="2"/>
        <v>0.479495506491177</v>
      </c>
      <c r="N11">
        <f t="shared" si="3"/>
        <v>0.97823602887499994</v>
      </c>
      <c r="O11">
        <f t="shared" si="4"/>
        <v>0.979758196047673</v>
      </c>
      <c r="P11">
        <f t="shared" si="5"/>
        <v>0.99844638485412684</v>
      </c>
      <c r="Q11">
        <f t="shared" si="6"/>
        <v>0.11252129444055751</v>
      </c>
      <c r="R11">
        <f t="shared" si="7"/>
        <v>0.4827751489831823</v>
      </c>
      <c r="S11">
        <f t="shared" si="8"/>
        <v>69.722141823444289</v>
      </c>
      <c r="T11">
        <f t="shared" si="9"/>
        <v>0.24344392463788736</v>
      </c>
      <c r="U11">
        <f t="shared" si="10"/>
        <v>243.44392463788736</v>
      </c>
    </row>
    <row r="12" spans="1:22">
      <c r="E12" s="1">
        <v>8.2066700000000008</v>
      </c>
      <c r="F12" s="1">
        <v>9.5250000000000004</v>
      </c>
      <c r="G12" s="1">
        <f t="shared" si="0"/>
        <v>9.722141823444284</v>
      </c>
      <c r="I12" s="1">
        <v>65</v>
      </c>
      <c r="J12" s="1">
        <v>6.3266999999999998</v>
      </c>
      <c r="K12" s="1">
        <v>47.144300000000001</v>
      </c>
      <c r="L12">
        <f t="shared" si="1"/>
        <v>0.13419861998163085</v>
      </c>
      <c r="M12">
        <f t="shared" si="2"/>
        <v>0.51197570174507501</v>
      </c>
      <c r="N12">
        <f t="shared" si="3"/>
        <v>0.97872429621289947</v>
      </c>
      <c r="O12">
        <f t="shared" si="4"/>
        <v>0.98088888273683905</v>
      </c>
      <c r="P12">
        <f t="shared" si="5"/>
        <v>0.99779323982355672</v>
      </c>
      <c r="Q12">
        <f t="shared" si="6"/>
        <v>0.13681327451402542</v>
      </c>
      <c r="R12">
        <f t="shared" si="7"/>
        <v>0.51527935893202748</v>
      </c>
      <c r="S12">
        <f t="shared" si="8"/>
        <v>74.722141823444289</v>
      </c>
      <c r="T12">
        <f t="shared" si="9"/>
        <v>0.23798967797116011</v>
      </c>
      <c r="U12">
        <f t="shared" si="10"/>
        <v>237.98967797116012</v>
      </c>
    </row>
    <row r="13" spans="1:22">
      <c r="E13" s="1">
        <v>8.2066700000000008</v>
      </c>
      <c r="F13" s="1">
        <v>9.5250000000000004</v>
      </c>
      <c r="G13" s="1">
        <f t="shared" si="0"/>
        <v>9.722141823444284</v>
      </c>
      <c r="I13" s="1">
        <v>70</v>
      </c>
      <c r="J13" s="1">
        <v>7.1566999999999998</v>
      </c>
      <c r="K13" s="1">
        <v>43.356699999999996</v>
      </c>
      <c r="L13">
        <f t="shared" si="1"/>
        <v>0.16506560693041678</v>
      </c>
      <c r="M13">
        <f t="shared" si="2"/>
        <v>0.54855334082695217</v>
      </c>
      <c r="N13">
        <f t="shared" si="3"/>
        <v>0.97888479198969391</v>
      </c>
      <c r="O13">
        <f t="shared" si="4"/>
        <v>0.98155786417692581</v>
      </c>
      <c r="P13">
        <f t="shared" si="5"/>
        <v>0.99727670442590421</v>
      </c>
      <c r="Q13">
        <f t="shared" si="6"/>
        <v>0.16816696493877176</v>
      </c>
      <c r="R13">
        <f t="shared" si="7"/>
        <v>0.5519675698351677</v>
      </c>
      <c r="S13">
        <f t="shared" si="8"/>
        <v>79.722141823444289</v>
      </c>
      <c r="T13">
        <f t="shared" si="9"/>
        <v>0.23193494695449329</v>
      </c>
      <c r="U13">
        <f t="shared" si="10"/>
        <v>231.93494695449328</v>
      </c>
    </row>
    <row r="14" spans="1:22">
      <c r="E14" s="1">
        <v>8.2066700000000008</v>
      </c>
      <c r="F14" s="1">
        <v>9.5250000000000004</v>
      </c>
      <c r="G14" s="1">
        <f t="shared" si="0"/>
        <v>9.722141823444284</v>
      </c>
      <c r="I14" s="1">
        <v>75</v>
      </c>
      <c r="J14" s="1">
        <v>7.9241999999999999</v>
      </c>
      <c r="K14" s="1">
        <v>40.425400000000003</v>
      </c>
      <c r="L14">
        <f t="shared" si="1"/>
        <v>0.19602032385579363</v>
      </c>
      <c r="M14">
        <f t="shared" si="2"/>
        <v>0.58089865037052957</v>
      </c>
      <c r="N14">
        <f t="shared" si="3"/>
        <v>0.97930936438880001</v>
      </c>
      <c r="O14">
        <f t="shared" si="4"/>
        <v>0.98228460140889207</v>
      </c>
      <c r="P14">
        <f t="shared" si="5"/>
        <v>0.99697110489584717</v>
      </c>
      <c r="Q14">
        <f t="shared" si="6"/>
        <v>0.19955552960378431</v>
      </c>
      <c r="R14">
        <f t="shared" si="7"/>
        <v>0.58437001322088356</v>
      </c>
      <c r="S14">
        <f t="shared" si="8"/>
        <v>84.722141823444289</v>
      </c>
      <c r="T14">
        <f t="shared" si="9"/>
        <v>0.22524535402184434</v>
      </c>
      <c r="U14">
        <f t="shared" si="10"/>
        <v>225.24535402184435</v>
      </c>
    </row>
    <row r="15" spans="1:22">
      <c r="E15" s="1">
        <v>8.2066700000000008</v>
      </c>
      <c r="F15" s="1">
        <v>9.5250000000000004</v>
      </c>
      <c r="G15" s="1">
        <f t="shared" si="0"/>
        <v>9.722141823444284</v>
      </c>
      <c r="I15" s="1">
        <v>80</v>
      </c>
      <c r="J15" s="1">
        <v>8.8562999999999992</v>
      </c>
      <c r="K15" s="1">
        <v>37.988199999999999</v>
      </c>
      <c r="L15">
        <f t="shared" si="1"/>
        <v>0.23313292022259541</v>
      </c>
      <c r="M15">
        <f t="shared" si="2"/>
        <v>0.61546193969431262</v>
      </c>
      <c r="N15">
        <f t="shared" si="3"/>
        <v>0.97928885747054684</v>
      </c>
      <c r="O15">
        <f t="shared" si="4"/>
        <v>0.98256601626292306</v>
      </c>
      <c r="P15">
        <f t="shared" si="5"/>
        <v>0.99666469352884757</v>
      </c>
      <c r="Q15">
        <f t="shared" si="6"/>
        <v>0.23726947234475876</v>
      </c>
      <c r="R15">
        <f t="shared" si="7"/>
        <v>0.61908073302574995</v>
      </c>
      <c r="S15">
        <f t="shared" si="8"/>
        <v>89.722141823444289</v>
      </c>
      <c r="T15">
        <f t="shared" si="9"/>
        <v>0.22331141300377375</v>
      </c>
      <c r="U15">
        <f t="shared" si="10"/>
        <v>223.31141300377374</v>
      </c>
    </row>
    <row r="16" spans="1:22">
      <c r="E16" s="1">
        <v>8.2066700000000008</v>
      </c>
      <c r="F16" s="1">
        <v>9.5250000000000004</v>
      </c>
      <c r="G16" s="1">
        <f t="shared" si="0"/>
        <v>9.722141823444284</v>
      </c>
      <c r="I16" s="1">
        <v>85</v>
      </c>
      <c r="J16" s="1">
        <v>9.5891999999999999</v>
      </c>
      <c r="K16" s="1">
        <v>34.892299999999999</v>
      </c>
      <c r="L16">
        <f t="shared" si="1"/>
        <v>0.27482281190979102</v>
      </c>
      <c r="M16">
        <f t="shared" si="2"/>
        <v>0.65015602716707122</v>
      </c>
      <c r="N16">
        <f t="shared" si="3"/>
        <v>0.97984374713660904</v>
      </c>
      <c r="O16">
        <f t="shared" si="4"/>
        <v>0.9832204553645213</v>
      </c>
      <c r="P16">
        <f t="shared" si="5"/>
        <v>0.99656566519798417</v>
      </c>
      <c r="Q16">
        <f t="shared" si="6"/>
        <v>0.27951291128082012</v>
      </c>
      <c r="R16">
        <f t="shared" si="7"/>
        <v>0.65383368482439541</v>
      </c>
      <c r="S16">
        <f t="shared" si="8"/>
        <v>94.722141823444289</v>
      </c>
      <c r="T16">
        <f t="shared" si="9"/>
        <v>0.21034240154447315</v>
      </c>
      <c r="U16">
        <f t="shared" si="10"/>
        <v>210.34240154447315</v>
      </c>
    </row>
    <row r="17" spans="5:21">
      <c r="E17" s="1">
        <v>8.2066700000000008</v>
      </c>
      <c r="F17" s="1">
        <v>9.5250000000000004</v>
      </c>
      <c r="G17" s="1">
        <f t="shared" si="0"/>
        <v>9.722141823444284</v>
      </c>
      <c r="I17" s="1">
        <v>90</v>
      </c>
      <c r="J17" s="1">
        <v>10.6136</v>
      </c>
      <c r="K17" s="1">
        <v>32.784399999999998</v>
      </c>
      <c r="L17">
        <f t="shared" si="1"/>
        <v>0.32373933944192973</v>
      </c>
      <c r="M17">
        <f t="shared" si="2"/>
        <v>0.68664430978759805</v>
      </c>
      <c r="N17">
        <f t="shared" si="3"/>
        <v>0.97969777524000001</v>
      </c>
      <c r="O17">
        <f t="shared" si="4"/>
        <v>0.98327640761198354</v>
      </c>
      <c r="P17">
        <f t="shared" si="5"/>
        <v>0.99636050214946714</v>
      </c>
      <c r="Q17">
        <f t="shared" si="6"/>
        <v>0.32924550709822625</v>
      </c>
      <c r="R17">
        <f t="shared" si="7"/>
        <v>0.69051526806272256</v>
      </c>
      <c r="S17">
        <f t="shared" si="8"/>
        <v>99.722141823444289</v>
      </c>
      <c r="T17">
        <f t="shared" si="9"/>
        <v>0.20773769286747515</v>
      </c>
      <c r="U17">
        <f t="shared" si="10"/>
        <v>207.73769286747515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113E-401B-4711-9643-13D3139A4BB5}">
  <dimension ref="A1:V19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3" width="11.25" bestFit="1" customWidth="1"/>
    <col min="14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72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71</v>
      </c>
      <c r="B2" s="2">
        <v>3.8866700000000001</v>
      </c>
      <c r="C2" s="2">
        <v>25.066700000000001</v>
      </c>
      <c r="D2" s="2">
        <v>45</v>
      </c>
      <c r="E2" s="2">
        <v>8.1732999999999993</v>
      </c>
      <c r="F2" s="2">
        <v>9.5274999999999999</v>
      </c>
      <c r="G2" s="2">
        <f>0.0881/0.00647</f>
        <v>13.616692426584235</v>
      </c>
      <c r="H2" s="2" t="s">
        <v>9</v>
      </c>
      <c r="I2" s="2">
        <v>45</v>
      </c>
      <c r="J2" s="2">
        <v>3.3935</v>
      </c>
      <c r="K2" s="2">
        <v>64.7958</v>
      </c>
      <c r="L2" s="3">
        <f>J2:J25/K2:K25</f>
        <v>5.2372221656341922E-2</v>
      </c>
      <c r="M2" s="3">
        <f>(L2:L25)^(1/3)</f>
        <v>0.3741395898059704</v>
      </c>
      <c r="N2" s="3">
        <f>1-((3/10)*(J2:J25/I2:I25)^2)-((3/2)*((J2:J25*E2)/(I2:I25)^2))</f>
        <v>0.97774869481481486</v>
      </c>
      <c r="O2" s="3">
        <f>1-(F2/I2:I25)^3-((9/8)*(1-(F2/I2:I25)^2)*((J2:J25*E2)/I2:I25^2))-((9/35)*(J2:J25/I2:I25)^2)</f>
        <v>0.97432873204118919</v>
      </c>
      <c r="P2" s="3">
        <f>N2:N25/O2:O25</f>
        <v>1.0035100707401505</v>
      </c>
      <c r="Q2" s="3">
        <f>L2:L25/O2:O25</f>
        <v>5.3752106382641211E-2</v>
      </c>
      <c r="R2" s="3">
        <f>Q2:Q25^(1/3)</f>
        <v>0.37739704546208497</v>
      </c>
      <c r="S2" s="3">
        <f>I2:I25+G2</f>
        <v>58.616692426584237</v>
      </c>
      <c r="T2" s="3">
        <f>(P2:P25*3*K2:K25*J2:J25)/(2*25.0667*S2:S25)</f>
        <v>0.22526267229883792</v>
      </c>
      <c r="U2" s="3">
        <f>T2:T25*1000</f>
        <v>225.26267229883791</v>
      </c>
      <c r="V2">
        <f>AVERAGE(U3:U17)</f>
        <v>240.83765415829899</v>
      </c>
    </row>
    <row r="3" spans="1:22">
      <c r="D3" s="4"/>
      <c r="E3" s="4">
        <v>8.1732999999999993</v>
      </c>
      <c r="F3" s="4">
        <v>9.5274999999999999</v>
      </c>
      <c r="G3" s="1">
        <f t="shared" ref="G3:G17" si="0">0.0881/0.00647</f>
        <v>13.616692426584235</v>
      </c>
      <c r="H3" s="4"/>
      <c r="I3" s="1">
        <v>46</v>
      </c>
      <c r="J3" s="1">
        <v>3.6242000000000001</v>
      </c>
      <c r="K3" s="1">
        <v>65.818799999999996</v>
      </c>
      <c r="L3" s="4">
        <f t="shared" ref="L3:L17" si="1">J3:J26/K3:K26</f>
        <v>5.5063294985627211E-2</v>
      </c>
      <c r="M3" s="4">
        <f t="shared" ref="M3:M17" si="2">(L3:L26)^(1/3)</f>
        <v>0.38044107367818553</v>
      </c>
      <c r="N3" s="4">
        <f t="shared" ref="N3:N17" si="3">1-((3/10)*(J3:J26/I3:I26)^2)-((3/2)*((J3:J26*E3)/(I3:I26)^2))</f>
        <v>0.97713943360964084</v>
      </c>
      <c r="O3" s="4">
        <f t="shared" ref="O3:O17" si="4">1-(F3/I3:I26)^3-((9/8)*(1-(F3/I3:I26)^2)*((J3:J26*E3)/I3:I26^2))-((9/35)*(J3:J26/I3:I26)^2)</f>
        <v>0.97444552905055959</v>
      </c>
      <c r="P3" s="4">
        <f t="shared" ref="P3:P17" si="5">N3:N26/O3:O26</f>
        <v>1.002764551202473</v>
      </c>
      <c r="Q3" s="4">
        <f t="shared" ref="Q3:Q17" si="6">L3:L26/O3:O26</f>
        <v>5.6507309381651667E-2</v>
      </c>
      <c r="R3" s="4">
        <f t="shared" ref="R3:R17" si="7">Q3:Q26^(1/3)</f>
        <v>0.38373806052487391</v>
      </c>
      <c r="S3">
        <f t="shared" ref="S3:S17" si="8">I3:I26+G3</f>
        <v>59.616692426584237</v>
      </c>
      <c r="T3">
        <f t="shared" ref="T3:T17" si="9">(P3:P26*3*K3:K26*J3:J26)/(2*25.0667*S3:S26)</f>
        <v>0.24009731704711637</v>
      </c>
      <c r="U3">
        <f t="shared" ref="U3:U17" si="10">T3:T26*1000</f>
        <v>240.09731704711638</v>
      </c>
    </row>
    <row r="4" spans="1:22">
      <c r="D4" s="4"/>
      <c r="E4" s="4">
        <v>8.1732999999999993</v>
      </c>
      <c r="F4" s="4">
        <v>9.5274999999999999</v>
      </c>
      <c r="G4" s="1">
        <f t="shared" si="0"/>
        <v>13.616692426584235</v>
      </c>
      <c r="H4" s="4"/>
      <c r="I4" s="1">
        <v>47</v>
      </c>
      <c r="J4" s="1">
        <v>3.9058000000000002</v>
      </c>
      <c r="K4" s="1">
        <v>64.534400000000005</v>
      </c>
      <c r="L4" s="4">
        <f t="shared" si="1"/>
        <v>6.0522759954380917E-2</v>
      </c>
      <c r="M4" s="4">
        <f t="shared" si="2"/>
        <v>0.39262044247119876</v>
      </c>
      <c r="N4" s="4">
        <f t="shared" si="3"/>
        <v>0.97625102091353555</v>
      </c>
      <c r="O4" s="4">
        <f t="shared" si="4"/>
        <v>0.97430439783150757</v>
      </c>
      <c r="P4" s="4">
        <f t="shared" si="5"/>
        <v>1.0019979619165844</v>
      </c>
      <c r="Q4" s="4">
        <f t="shared" si="6"/>
        <v>6.2118943616682194E-2</v>
      </c>
      <c r="R4" s="4">
        <f t="shared" si="7"/>
        <v>0.39604209925657852</v>
      </c>
      <c r="S4">
        <f t="shared" si="8"/>
        <v>60.616692426584237</v>
      </c>
      <c r="T4">
        <f t="shared" si="9"/>
        <v>0.24932738168205934</v>
      </c>
      <c r="U4">
        <f t="shared" si="10"/>
        <v>249.32738168205935</v>
      </c>
    </row>
    <row r="5" spans="1:22">
      <c r="D5" s="4"/>
      <c r="E5" s="4">
        <v>8.1732999999999993</v>
      </c>
      <c r="F5" s="4">
        <v>9.5274999999999999</v>
      </c>
      <c r="G5" s="1">
        <f t="shared" si="0"/>
        <v>13.616692426584235</v>
      </c>
      <c r="H5" s="4"/>
      <c r="I5" s="1">
        <v>48</v>
      </c>
      <c r="J5" s="1">
        <v>4.0227000000000004</v>
      </c>
      <c r="K5" s="1">
        <v>63.875599999999999</v>
      </c>
      <c r="L5" s="4">
        <f t="shared" si="1"/>
        <v>6.2977099236641229E-2</v>
      </c>
      <c r="M5" s="4">
        <f t="shared" si="2"/>
        <v>0.39785750148223675</v>
      </c>
      <c r="N5" s="4">
        <f t="shared" si="3"/>
        <v>0.97648752801562499</v>
      </c>
      <c r="O5" s="4">
        <f t="shared" si="4"/>
        <v>0.97495227574904042</v>
      </c>
      <c r="P5" s="4">
        <f t="shared" si="5"/>
        <v>1.0015746947873987</v>
      </c>
      <c r="Q5" s="4">
        <f t="shared" si="6"/>
        <v>6.4595058448637319E-2</v>
      </c>
      <c r="R5" s="4">
        <f t="shared" si="7"/>
        <v>0.40123588265379601</v>
      </c>
      <c r="S5">
        <f t="shared" si="8"/>
        <v>61.616692426584237</v>
      </c>
      <c r="T5">
        <f t="shared" si="9"/>
        <v>0.24993765763081152</v>
      </c>
      <c r="U5">
        <f t="shared" si="10"/>
        <v>249.93765763081151</v>
      </c>
    </row>
    <row r="6" spans="1:22">
      <c r="D6" s="4"/>
      <c r="E6" s="4">
        <v>8.1732999999999993</v>
      </c>
      <c r="F6" s="4">
        <v>9.5274999999999999</v>
      </c>
      <c r="G6" s="1">
        <f t="shared" si="0"/>
        <v>13.616692426584235</v>
      </c>
      <c r="H6" s="4"/>
      <c r="I6" s="1">
        <v>49</v>
      </c>
      <c r="J6" s="1">
        <v>4.1379999999999999</v>
      </c>
      <c r="K6" s="1">
        <v>63.612200000000001</v>
      </c>
      <c r="L6" s="4">
        <f t="shared" si="1"/>
        <v>6.5050414857527328E-2</v>
      </c>
      <c r="M6" s="4">
        <f t="shared" si="2"/>
        <v>0.40217649992666576</v>
      </c>
      <c r="N6" s="4">
        <f t="shared" si="3"/>
        <v>0.97673111774260724</v>
      </c>
      <c r="O6" s="4">
        <f t="shared" si="4"/>
        <v>0.97556719025064809</v>
      </c>
      <c r="P6" s="4">
        <f t="shared" si="5"/>
        <v>1.0011930777332314</v>
      </c>
      <c r="Q6" s="4">
        <f t="shared" si="6"/>
        <v>6.6679584458774407E-2</v>
      </c>
      <c r="R6" s="4">
        <f t="shared" si="7"/>
        <v>0.40550632088716559</v>
      </c>
      <c r="S6">
        <f t="shared" si="8"/>
        <v>62.616692426584237</v>
      </c>
      <c r="T6">
        <f t="shared" si="9"/>
        <v>0.25185623836060778</v>
      </c>
      <c r="U6">
        <f t="shared" si="10"/>
        <v>251.85623836060779</v>
      </c>
    </row>
    <row r="7" spans="1:22">
      <c r="D7" s="4"/>
      <c r="E7" s="4">
        <v>8.1732999999999993</v>
      </c>
      <c r="F7" s="4">
        <v>9.5274999999999999</v>
      </c>
      <c r="G7" s="1">
        <f t="shared" si="0"/>
        <v>13.616692426584235</v>
      </c>
      <c r="H7" s="4"/>
      <c r="I7" s="1">
        <v>50</v>
      </c>
      <c r="J7" s="1">
        <v>4.2961</v>
      </c>
      <c r="K7" s="1">
        <v>63.183999999999997</v>
      </c>
      <c r="L7" s="4">
        <f t="shared" si="1"/>
        <v>6.7993479361863771E-2</v>
      </c>
      <c r="M7" s="4">
        <f t="shared" si="2"/>
        <v>0.40815246320806758</v>
      </c>
      <c r="N7" s="4">
        <f t="shared" si="3"/>
        <v>0.97671723449680004</v>
      </c>
      <c r="O7" s="4">
        <f t="shared" si="4"/>
        <v>0.97595561371784645</v>
      </c>
      <c r="P7" s="4">
        <f t="shared" si="5"/>
        <v>1.0007803846489005</v>
      </c>
      <c r="Q7" s="4">
        <f t="shared" si="6"/>
        <v>6.9668618537728932E-2</v>
      </c>
      <c r="R7" s="4">
        <f t="shared" si="7"/>
        <v>0.41147715933951823</v>
      </c>
      <c r="S7">
        <f t="shared" si="8"/>
        <v>63.616692426584237</v>
      </c>
      <c r="T7">
        <f t="shared" si="9"/>
        <v>0.25553082261448068</v>
      </c>
      <c r="U7">
        <f t="shared" si="10"/>
        <v>255.53082261448068</v>
      </c>
    </row>
    <row r="8" spans="1:22">
      <c r="D8" s="4"/>
      <c r="E8" s="4">
        <v>8.1732999999999993</v>
      </c>
      <c r="F8" s="4">
        <v>9.5274999999999999</v>
      </c>
      <c r="G8" s="1">
        <f t="shared" si="0"/>
        <v>13.616692426584235</v>
      </c>
      <c r="H8" s="4"/>
      <c r="I8" s="1">
        <v>51</v>
      </c>
      <c r="J8" s="1">
        <v>4.3570000000000002</v>
      </c>
      <c r="K8" s="1">
        <v>62.624099999999999</v>
      </c>
      <c r="L8" s="4">
        <f t="shared" si="1"/>
        <v>6.9573854155189463E-2</v>
      </c>
      <c r="M8" s="4">
        <f t="shared" si="2"/>
        <v>0.41129050872152401</v>
      </c>
      <c r="N8" s="4">
        <f t="shared" si="3"/>
        <v>0.97727349602076119</v>
      </c>
      <c r="O8" s="4">
        <f t="shared" si="4"/>
        <v>0.97673839067333545</v>
      </c>
      <c r="P8" s="4">
        <f t="shared" si="5"/>
        <v>1.0005478492015214</v>
      </c>
      <c r="Q8" s="4">
        <f t="shared" si="6"/>
        <v>7.1230797130055715E-2</v>
      </c>
      <c r="R8" s="4">
        <f t="shared" si="7"/>
        <v>0.41452996986137575</v>
      </c>
      <c r="S8">
        <f t="shared" si="8"/>
        <v>64.616692426584237</v>
      </c>
      <c r="T8">
        <f t="shared" si="9"/>
        <v>0.25282283215837853</v>
      </c>
      <c r="U8">
        <f t="shared" si="10"/>
        <v>252.82283215837853</v>
      </c>
    </row>
    <row r="9" spans="1:22">
      <c r="D9" s="4"/>
      <c r="E9" s="4">
        <v>8.1732999999999993</v>
      </c>
      <c r="F9" s="4">
        <v>9.5274999999999999</v>
      </c>
      <c r="G9" s="1">
        <f t="shared" si="0"/>
        <v>13.616692426584235</v>
      </c>
      <c r="H9" s="4"/>
      <c r="I9" s="1">
        <v>52</v>
      </c>
      <c r="J9" s="1">
        <v>4.4920999999999998</v>
      </c>
      <c r="K9" s="1">
        <v>61.570099999999996</v>
      </c>
      <c r="L9" s="4">
        <f t="shared" si="1"/>
        <v>7.2959114895054578E-2</v>
      </c>
      <c r="M9" s="4">
        <f t="shared" si="2"/>
        <v>0.41785588099346543</v>
      </c>
      <c r="N9" s="4">
        <f t="shared" si="3"/>
        <v>0.97739400513387575</v>
      </c>
      <c r="O9" s="4">
        <f t="shared" si="4"/>
        <v>0.97716769610673027</v>
      </c>
      <c r="P9" s="4">
        <f t="shared" si="5"/>
        <v>1.0002315969183664</v>
      </c>
      <c r="Q9" s="4">
        <f t="shared" si="6"/>
        <v>7.466386290269432E-2</v>
      </c>
      <c r="R9" s="4">
        <f t="shared" si="7"/>
        <v>0.42108536906901206</v>
      </c>
      <c r="S9">
        <f t="shared" si="8"/>
        <v>65.616692426584237</v>
      </c>
      <c r="T9">
        <f t="shared" si="9"/>
        <v>0.25228974918009689</v>
      </c>
      <c r="U9">
        <f t="shared" si="10"/>
        <v>252.28974918009689</v>
      </c>
    </row>
    <row r="10" spans="1:22">
      <c r="D10" s="4"/>
      <c r="E10" s="4">
        <v>8.1732999999999993</v>
      </c>
      <c r="F10" s="4">
        <v>9.5274999999999999</v>
      </c>
      <c r="G10" s="1">
        <f t="shared" si="0"/>
        <v>13.616692426584235</v>
      </c>
      <c r="H10" s="4"/>
      <c r="I10" s="1">
        <v>55</v>
      </c>
      <c r="J10" s="1">
        <v>4.9383999999999997</v>
      </c>
      <c r="K10" s="1">
        <v>56.036999999999999</v>
      </c>
      <c r="L10" s="4">
        <f t="shared" si="1"/>
        <v>8.8127487195959808E-2</v>
      </c>
      <c r="M10" s="4">
        <f t="shared" si="2"/>
        <v>0.44501070915768665</v>
      </c>
      <c r="N10" s="4">
        <f t="shared" si="3"/>
        <v>0.97756665274446286</v>
      </c>
      <c r="O10" s="4">
        <f t="shared" si="4"/>
        <v>0.97816814796215501</v>
      </c>
      <c r="P10" s="4">
        <f t="shared" si="5"/>
        <v>0.99938507993851033</v>
      </c>
      <c r="Q10" s="4">
        <f t="shared" si="6"/>
        <v>9.0094415136659542E-2</v>
      </c>
      <c r="R10" s="4">
        <f t="shared" si="7"/>
        <v>0.44829712820067069</v>
      </c>
      <c r="S10">
        <f t="shared" si="8"/>
        <v>68.616692426584237</v>
      </c>
      <c r="T10">
        <f t="shared" si="9"/>
        <v>0.2411894561575488</v>
      </c>
      <c r="U10">
        <f t="shared" si="10"/>
        <v>241.18945615754879</v>
      </c>
    </row>
    <row r="11" spans="1:22">
      <c r="D11" s="4"/>
      <c r="E11" s="4">
        <v>8.1732999999999993</v>
      </c>
      <c r="F11" s="4">
        <v>9.5274999999999999</v>
      </c>
      <c r="G11" s="1">
        <f t="shared" si="0"/>
        <v>13.616692426584235</v>
      </c>
      <c r="H11" s="4"/>
      <c r="I11" s="1">
        <v>60</v>
      </c>
      <c r="J11" s="1">
        <v>5.6630000000000003</v>
      </c>
      <c r="K11" s="1">
        <v>52.512799999999999</v>
      </c>
      <c r="L11" s="4">
        <f t="shared" si="1"/>
        <v>0.10784037415639616</v>
      </c>
      <c r="M11" s="4">
        <f t="shared" si="2"/>
        <v>0.47598557931913643</v>
      </c>
      <c r="N11" s="4">
        <f t="shared" si="3"/>
        <v>0.97804195345833334</v>
      </c>
      <c r="O11" s="4">
        <f t="shared" si="4"/>
        <v>0.97960594207017171</v>
      </c>
      <c r="P11" s="4">
        <f t="shared" si="5"/>
        <v>0.99840345128110064</v>
      </c>
      <c r="Q11" s="4">
        <f t="shared" si="6"/>
        <v>0.11008546347575265</v>
      </c>
      <c r="R11" s="4">
        <f t="shared" si="7"/>
        <v>0.47926604188517258</v>
      </c>
      <c r="S11">
        <f t="shared" si="8"/>
        <v>73.616692426584237</v>
      </c>
      <c r="T11">
        <f t="shared" si="9"/>
        <v>0.24134349946796951</v>
      </c>
      <c r="U11">
        <f t="shared" si="10"/>
        <v>241.34349946796951</v>
      </c>
    </row>
    <row r="12" spans="1:22">
      <c r="D12" s="4"/>
      <c r="E12" s="4">
        <v>8.1732999999999993</v>
      </c>
      <c r="F12" s="4">
        <v>9.5274999999999999</v>
      </c>
      <c r="G12" s="1">
        <f t="shared" si="0"/>
        <v>13.616692426584235</v>
      </c>
      <c r="H12" s="4"/>
      <c r="I12" s="1">
        <v>65</v>
      </c>
      <c r="J12" s="1">
        <v>6.3003999999999998</v>
      </c>
      <c r="K12" s="1">
        <v>49.482799999999997</v>
      </c>
      <c r="L12" s="4">
        <f t="shared" si="1"/>
        <v>0.12732505032051541</v>
      </c>
      <c r="M12" s="4">
        <f t="shared" si="2"/>
        <v>0.50308104245178864</v>
      </c>
      <c r="N12" s="4">
        <f t="shared" si="3"/>
        <v>0.97889914768568054</v>
      </c>
      <c r="O12" s="4">
        <f t="shared" si="4"/>
        <v>0.98101778780619986</v>
      </c>
      <c r="P12" s="4">
        <f t="shared" si="5"/>
        <v>0.99784036523409314</v>
      </c>
      <c r="Q12" s="4">
        <f t="shared" si="6"/>
        <v>0.1297887274860183</v>
      </c>
      <c r="R12" s="4">
        <f t="shared" si="7"/>
        <v>0.5063051265296965</v>
      </c>
      <c r="S12">
        <f t="shared" si="8"/>
        <v>78.616692426584237</v>
      </c>
      <c r="T12">
        <f t="shared" si="9"/>
        <v>0.23678968782813986</v>
      </c>
      <c r="U12">
        <f t="shared" si="10"/>
        <v>236.78968782813985</v>
      </c>
    </row>
    <row r="13" spans="1:22">
      <c r="D13" s="4"/>
      <c r="E13" s="4">
        <v>8.1732999999999993</v>
      </c>
      <c r="F13" s="4">
        <v>9.5274999999999999</v>
      </c>
      <c r="G13" s="1">
        <f t="shared" si="0"/>
        <v>13.616692426584235</v>
      </c>
      <c r="H13" s="4"/>
      <c r="I13" s="1">
        <v>70</v>
      </c>
      <c r="J13" s="1">
        <v>6.9855</v>
      </c>
      <c r="K13" s="1">
        <v>44.970599999999997</v>
      </c>
      <c r="L13" s="4">
        <f t="shared" si="1"/>
        <v>0.15533481874824887</v>
      </c>
      <c r="M13" s="4">
        <f t="shared" si="2"/>
        <v>0.53755504033241819</v>
      </c>
      <c r="N13" s="4">
        <f t="shared" si="3"/>
        <v>0.9795344808571429</v>
      </c>
      <c r="O13" s="4">
        <f t="shared" si="4"/>
        <v>0.98205219257745435</v>
      </c>
      <c r="P13" s="4">
        <f t="shared" si="5"/>
        <v>0.99743627503778232</v>
      </c>
      <c r="Q13" s="4">
        <f t="shared" si="6"/>
        <v>0.15817368966975512</v>
      </c>
      <c r="R13" s="4">
        <f t="shared" si="7"/>
        <v>0.54081004360059426</v>
      </c>
      <c r="S13">
        <f t="shared" si="8"/>
        <v>83.616692426584237</v>
      </c>
      <c r="T13">
        <f t="shared" si="9"/>
        <v>0.22423967169572462</v>
      </c>
      <c r="U13">
        <f t="shared" si="10"/>
        <v>224.23967169572461</v>
      </c>
    </row>
    <row r="14" spans="1:22">
      <c r="D14" s="4"/>
      <c r="E14" s="4">
        <v>8.1732999999999993</v>
      </c>
      <c r="F14" s="4">
        <v>9.5274999999999999</v>
      </c>
      <c r="G14" s="1">
        <f t="shared" si="0"/>
        <v>13.616692426584235</v>
      </c>
      <c r="H14" s="4"/>
      <c r="I14" s="1">
        <v>75</v>
      </c>
      <c r="J14" s="1">
        <v>8.0889000000000006</v>
      </c>
      <c r="K14" s="1">
        <v>44.0154</v>
      </c>
      <c r="L14" s="4">
        <f t="shared" si="1"/>
        <v>0.18377431535326275</v>
      </c>
      <c r="M14" s="4">
        <f t="shared" si="2"/>
        <v>0.56854075839786622</v>
      </c>
      <c r="N14" s="4">
        <f t="shared" si="3"/>
        <v>0.97888024879680002</v>
      </c>
      <c r="O14" s="4">
        <f t="shared" si="4"/>
        <v>0.981949682129313</v>
      </c>
      <c r="P14" s="4">
        <f t="shared" si="5"/>
        <v>0.99687414397257401</v>
      </c>
      <c r="Q14" s="4">
        <f t="shared" si="6"/>
        <v>0.18715247705438076</v>
      </c>
      <c r="R14" s="4">
        <f t="shared" si="7"/>
        <v>0.57200328972465009</v>
      </c>
      <c r="S14">
        <f t="shared" si="8"/>
        <v>88.616692426584237</v>
      </c>
      <c r="T14">
        <f t="shared" si="9"/>
        <v>0.2396696329065881</v>
      </c>
      <c r="U14">
        <f t="shared" si="10"/>
        <v>239.66963290658811</v>
      </c>
    </row>
    <row r="15" spans="1:22">
      <c r="D15" s="4"/>
      <c r="E15" s="4">
        <v>8.1732999999999993</v>
      </c>
      <c r="F15" s="4">
        <v>9.5274999999999999</v>
      </c>
      <c r="G15" s="1">
        <f t="shared" si="0"/>
        <v>13.616692426584235</v>
      </c>
      <c r="H15" s="4"/>
      <c r="I15" s="1">
        <v>80</v>
      </c>
      <c r="J15" s="1">
        <v>8.6981999999999999</v>
      </c>
      <c r="K15" s="1">
        <v>41.380600000000001</v>
      </c>
      <c r="L15" s="4">
        <f t="shared" si="1"/>
        <v>0.21019994876826339</v>
      </c>
      <c r="M15" s="4">
        <f t="shared" si="2"/>
        <v>0.5945807830340839</v>
      </c>
      <c r="N15" s="4">
        <f t="shared" si="3"/>
        <v>0.97979107780281249</v>
      </c>
      <c r="O15" s="4">
        <f t="shared" si="4"/>
        <v>0.98295142756358989</v>
      </c>
      <c r="P15" s="4">
        <f t="shared" si="5"/>
        <v>0.99678483628777992</v>
      </c>
      <c r="Q15" s="4">
        <f t="shared" si="6"/>
        <v>0.21384571289476556</v>
      </c>
      <c r="R15" s="4">
        <f t="shared" si="7"/>
        <v>0.59799862127880321</v>
      </c>
      <c r="S15">
        <f t="shared" si="8"/>
        <v>93.616692426584237</v>
      </c>
      <c r="T15">
        <f t="shared" si="9"/>
        <v>0.22933397466347311</v>
      </c>
      <c r="U15">
        <f t="shared" si="10"/>
        <v>229.3339746634731</v>
      </c>
    </row>
    <row r="16" spans="1:22">
      <c r="D16" s="4"/>
      <c r="E16" s="4">
        <v>8.1732999999999993</v>
      </c>
      <c r="F16" s="4">
        <v>9.5274999999999999</v>
      </c>
      <c r="G16" s="1">
        <f t="shared" si="0"/>
        <v>13.616692426584235</v>
      </c>
      <c r="H16" s="4"/>
      <c r="I16" s="1">
        <v>85</v>
      </c>
      <c r="J16" s="1">
        <v>9.6699000000000002</v>
      </c>
      <c r="K16" s="1">
        <v>37.56</v>
      </c>
      <c r="L16" s="4">
        <f t="shared" si="1"/>
        <v>0.25745207667731629</v>
      </c>
      <c r="M16" s="4">
        <f t="shared" si="2"/>
        <v>0.63615869347119791</v>
      </c>
      <c r="N16" s="4">
        <f t="shared" si="3"/>
        <v>0.97970870860788928</v>
      </c>
      <c r="O16" s="4">
        <f t="shared" si="4"/>
        <v>0.98311189889314277</v>
      </c>
      <c r="P16" s="4">
        <f t="shared" si="5"/>
        <v>0.99653834900270755</v>
      </c>
      <c r="Q16" s="4">
        <f t="shared" si="6"/>
        <v>0.26187464211060218</v>
      </c>
      <c r="R16" s="4">
        <f t="shared" si="7"/>
        <v>0.63978072086681026</v>
      </c>
      <c r="S16">
        <f t="shared" si="8"/>
        <v>98.616692426584237</v>
      </c>
      <c r="T16">
        <f t="shared" si="9"/>
        <v>0.21962675546038696</v>
      </c>
      <c r="U16">
        <f t="shared" si="10"/>
        <v>219.62675546038696</v>
      </c>
    </row>
    <row r="17" spans="4:21">
      <c r="D17" s="4"/>
      <c r="E17" s="4">
        <v>8.1732999999999993</v>
      </c>
      <c r="F17" s="4">
        <v>9.5274999999999999</v>
      </c>
      <c r="G17" s="1">
        <f t="shared" si="0"/>
        <v>13.616692426584235</v>
      </c>
      <c r="H17" s="4"/>
      <c r="I17" s="1">
        <v>90</v>
      </c>
      <c r="J17" s="1">
        <v>10.979200000000001</v>
      </c>
      <c r="K17" s="1">
        <v>36.176699999999997</v>
      </c>
      <c r="L17" s="4">
        <f t="shared" si="1"/>
        <v>0.30348815674177032</v>
      </c>
      <c r="M17" s="4">
        <f t="shared" si="2"/>
        <v>0.67201749997369764</v>
      </c>
      <c r="N17" s="4">
        <f t="shared" si="3"/>
        <v>0.97891761816888889</v>
      </c>
      <c r="O17" s="4">
        <f t="shared" si="4"/>
        <v>0.98266320032533028</v>
      </c>
      <c r="P17" s="4">
        <f t="shared" si="5"/>
        <v>0.99618833578462962</v>
      </c>
      <c r="Q17" s="4">
        <f t="shared" si="6"/>
        <v>0.30884249724757629</v>
      </c>
      <c r="R17" s="4">
        <f t="shared" si="7"/>
        <v>0.67594654383935204</v>
      </c>
      <c r="S17">
        <f t="shared" si="8"/>
        <v>103.61669242658424</v>
      </c>
      <c r="T17">
        <f t="shared" si="9"/>
        <v>0.22851013552110294</v>
      </c>
      <c r="U17">
        <f t="shared" si="10"/>
        <v>228.51013552110294</v>
      </c>
    </row>
    <row r="18" spans="4:21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4:21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273B-1138-4E70-BBE7-F0F561F9291D}">
  <dimension ref="A1:V17"/>
  <sheetViews>
    <sheetView topLeftCell="J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3" width="11.25" bestFit="1" customWidth="1"/>
    <col min="14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74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73</v>
      </c>
      <c r="B2" s="2">
        <v>3.826667</v>
      </c>
      <c r="C2" s="2">
        <v>25.046669999999999</v>
      </c>
      <c r="D2" s="2">
        <v>45</v>
      </c>
      <c r="E2" s="2">
        <v>8.1558299999999999</v>
      </c>
      <c r="F2" s="2">
        <v>9.5299999999999994</v>
      </c>
      <c r="G2" s="2">
        <f>0.06549/0.00686</f>
        <v>9.5466472303207013</v>
      </c>
      <c r="H2" s="2" t="s">
        <v>9</v>
      </c>
      <c r="I2" s="2">
        <v>45</v>
      </c>
      <c r="J2" s="2">
        <v>3.4786000000000001</v>
      </c>
      <c r="K2" s="2">
        <v>65.310599999999994</v>
      </c>
      <c r="L2" s="3">
        <f>J2:J25/K2:K25</f>
        <v>5.3262410695966662E-2</v>
      </c>
      <c r="M2" s="3">
        <f>(L2:L25)^(1/3)</f>
        <v>0.37624748564530808</v>
      </c>
      <c r="N2" s="3">
        <f>1-((3/10)*(J2:J25/I2:I25)^2)-((3/2)*((J2:J25*E2)/(I2:I25)^2))</f>
        <v>0.9771918504962962</v>
      </c>
      <c r="O2" s="3">
        <f>1-(F2/I2:I25)^3-((9/8)*(1-(F2/I2:I25)^2)*((J2:J25*E2)/I2:I25^2))-((9/35)*(J2:J25/I2:I25)^2)</f>
        <v>0.97391052199911965</v>
      </c>
      <c r="P2" s="3">
        <f>N2:N25/O2:O25</f>
        <v>1.003369229947779</v>
      </c>
      <c r="Q2" s="3">
        <f>L2:L25/O2:O25</f>
        <v>5.4689224002464169E-2</v>
      </c>
      <c r="R2" s="3">
        <f>Q2:Q25^(1/3)</f>
        <v>0.3795776100801605</v>
      </c>
      <c r="S2" s="3">
        <f>I2:I25+G2</f>
        <v>54.546647230320701</v>
      </c>
      <c r="T2" s="3">
        <f>(P2:P25*3*K2:K25*J2:J25)/(2*25.04667*S2:S25)</f>
        <v>0.25027769617260903</v>
      </c>
      <c r="U2" s="3">
        <f>T2:T25*1000</f>
        <v>250.27769617260904</v>
      </c>
      <c r="V2">
        <f>AVERAGE(U3:U17)</f>
        <v>255.10466733485191</v>
      </c>
    </row>
    <row r="3" spans="1:22">
      <c r="E3" s="1">
        <v>8.1558299999999999</v>
      </c>
      <c r="F3" s="1">
        <v>9.5299999999999994</v>
      </c>
      <c r="G3" s="1">
        <f t="shared" ref="G3:G17" si="0">0.06549/0.00686</f>
        <v>9.5466472303207013</v>
      </c>
      <c r="I3" s="1">
        <v>46</v>
      </c>
      <c r="J3" s="1">
        <v>3.5962000000000001</v>
      </c>
      <c r="K3" s="1">
        <v>65.522400000000005</v>
      </c>
      <c r="L3">
        <f t="shared" ref="L3:L17" si="1">J3:J26/K3:K26</f>
        <v>5.4885046945777317E-2</v>
      </c>
      <c r="M3">
        <f t="shared" ref="M3:M17" si="2">(L3:L26)^(1/3)</f>
        <v>0.38003011521665292</v>
      </c>
      <c r="N3">
        <f t="shared" ref="N3:N17" si="3">1-((3/10)*(J3:J26/I3:I26)^2)-((3/2)*((J3:J26*E3)/(I3:I26)^2))</f>
        <v>0.97737486290122877</v>
      </c>
      <c r="O3">
        <f t="shared" ref="O3:O17" si="4">1-(F3/I3:I26)^3-((9/8)*(1-(F3/I3:I26)^2)*((J3:J26*E3)/I3:I26^2))-((9/35)*(J3:J26/I3:I26)^2)</f>
        <v>0.9746118745579595</v>
      </c>
      <c r="P3">
        <f t="shared" ref="P3:P17" si="5">N3:N26/O3:O26</f>
        <v>1.002834962732752</v>
      </c>
      <c r="Q3">
        <f t="shared" ref="Q3:Q17" si="6">L3:L26/O3:O26</f>
        <v>5.6314773479104928E-2</v>
      </c>
      <c r="R3">
        <f t="shared" ref="R3:R17" si="7">Q3:Q26^(1/3)</f>
        <v>0.38330173097473375</v>
      </c>
      <c r="S3">
        <f t="shared" ref="S3:S17" si="8">I3:I26+G3</f>
        <v>55.546647230320701</v>
      </c>
      <c r="T3">
        <f t="shared" ref="T3:T17" si="9">(P3:P26*3*K3:K26*J3:J26)/(2*25.04667*S3:S26)</f>
        <v>0.25476896052046516</v>
      </c>
      <c r="U3">
        <f t="shared" ref="U3:U17" si="10">T3:T26*1000</f>
        <v>254.76896052046516</v>
      </c>
    </row>
    <row r="4" spans="1:22">
      <c r="E4" s="1">
        <v>8.1558299999999999</v>
      </c>
      <c r="F4" s="1">
        <v>9.5299999999999994</v>
      </c>
      <c r="G4" s="1">
        <f t="shared" si="0"/>
        <v>9.5466472303207013</v>
      </c>
      <c r="I4" s="1">
        <v>47</v>
      </c>
      <c r="J4" s="1">
        <v>3.7970999999999999</v>
      </c>
      <c r="K4" s="1">
        <v>63.875599999999999</v>
      </c>
      <c r="L4">
        <f t="shared" si="1"/>
        <v>5.9445234173925568E-2</v>
      </c>
      <c r="M4">
        <f t="shared" si="2"/>
        <v>0.39027645131527922</v>
      </c>
      <c r="N4">
        <f t="shared" si="3"/>
        <v>0.97701306307718427</v>
      </c>
      <c r="O4">
        <f t="shared" si="4"/>
        <v>0.97486191301316716</v>
      </c>
      <c r="P4">
        <f t="shared" si="5"/>
        <v>1.0022066202764741</v>
      </c>
      <c r="Q4">
        <f t="shared" si="6"/>
        <v>6.0978107135387351E-2</v>
      </c>
      <c r="R4">
        <f t="shared" si="7"/>
        <v>0.39360261912329852</v>
      </c>
      <c r="S4">
        <f t="shared" si="8"/>
        <v>56.546647230320701</v>
      </c>
      <c r="T4">
        <f t="shared" si="9"/>
        <v>0.25744158471377382</v>
      </c>
      <c r="U4">
        <f t="shared" si="10"/>
        <v>257.44158471377381</v>
      </c>
    </row>
    <row r="5" spans="1:22">
      <c r="E5" s="1">
        <v>8.1558299999999999</v>
      </c>
      <c r="F5" s="1">
        <v>9.5299999999999994</v>
      </c>
      <c r="G5" s="1">
        <f t="shared" si="0"/>
        <v>9.5466472303207013</v>
      </c>
      <c r="I5" s="1">
        <v>48</v>
      </c>
      <c r="J5" s="1">
        <v>3.9683999999999999</v>
      </c>
      <c r="K5" s="1">
        <v>63.710999999999999</v>
      </c>
      <c r="L5">
        <f t="shared" si="1"/>
        <v>6.2287517069265906E-2</v>
      </c>
      <c r="M5">
        <f t="shared" si="2"/>
        <v>0.39640002487334125</v>
      </c>
      <c r="N5">
        <f t="shared" si="3"/>
        <v>0.97687810189843749</v>
      </c>
      <c r="O5">
        <f t="shared" si="4"/>
        <v>0.97523555748892921</v>
      </c>
      <c r="P5">
        <f t="shared" si="5"/>
        <v>1.0016842540213953</v>
      </c>
      <c r="Q5">
        <f t="shared" si="6"/>
        <v>6.3869202256781929E-2</v>
      </c>
      <c r="R5">
        <f t="shared" si="7"/>
        <v>0.39972731885635376</v>
      </c>
      <c r="S5">
        <f t="shared" si="8"/>
        <v>57.546647230320701</v>
      </c>
      <c r="T5">
        <f t="shared" si="9"/>
        <v>0.26356148689579034</v>
      </c>
      <c r="U5">
        <f t="shared" si="10"/>
        <v>263.56148689579032</v>
      </c>
    </row>
    <row r="6" spans="1:22">
      <c r="E6" s="1">
        <v>8.1558299999999999</v>
      </c>
      <c r="F6" s="1">
        <v>9.5299999999999994</v>
      </c>
      <c r="G6" s="1">
        <f t="shared" si="0"/>
        <v>9.5466472303207013</v>
      </c>
      <c r="I6" s="1">
        <v>49</v>
      </c>
      <c r="J6" s="1">
        <v>4.0556000000000001</v>
      </c>
      <c r="K6" s="1">
        <v>62.887599999999999</v>
      </c>
      <c r="L6">
        <f t="shared" si="1"/>
        <v>6.4489660918845684E-2</v>
      </c>
      <c r="M6">
        <f t="shared" si="2"/>
        <v>0.40101753626924547</v>
      </c>
      <c r="N6">
        <f t="shared" si="3"/>
        <v>0.97728048995002081</v>
      </c>
      <c r="O6">
        <f t="shared" si="4"/>
        <v>0.97596959181039811</v>
      </c>
      <c r="P6">
        <f t="shared" si="5"/>
        <v>1.001343175187652</v>
      </c>
      <c r="Q6">
        <f t="shared" si="6"/>
        <v>6.6077530959974942E-2</v>
      </c>
      <c r="R6">
        <f t="shared" si="7"/>
        <v>0.40428218317885822</v>
      </c>
      <c r="S6">
        <f t="shared" si="8"/>
        <v>58.546647230320701</v>
      </c>
      <c r="T6">
        <f t="shared" si="9"/>
        <v>0.26124158689065408</v>
      </c>
      <c r="U6">
        <f t="shared" si="10"/>
        <v>261.24158689065405</v>
      </c>
    </row>
    <row r="7" spans="1:22">
      <c r="E7" s="1">
        <v>8.1558299999999999</v>
      </c>
      <c r="F7" s="1">
        <v>9.5299999999999994</v>
      </c>
      <c r="G7" s="1">
        <f t="shared" si="0"/>
        <v>9.5466472303207013</v>
      </c>
      <c r="I7" s="1">
        <v>50</v>
      </c>
      <c r="J7" s="1">
        <v>4.1858000000000004</v>
      </c>
      <c r="K7" s="1">
        <v>63.052199999999999</v>
      </c>
      <c r="L7">
        <f t="shared" si="1"/>
        <v>6.6386264079603893E-2</v>
      </c>
      <c r="M7">
        <f t="shared" si="2"/>
        <v>0.4049108457509713</v>
      </c>
      <c r="N7">
        <f t="shared" si="3"/>
        <v>0.97741428547480003</v>
      </c>
      <c r="O7">
        <f t="shared" si="4"/>
        <v>0.97646935060228401</v>
      </c>
      <c r="P7">
        <f t="shared" si="5"/>
        <v>1.0009677056140402</v>
      </c>
      <c r="Q7">
        <f t="shared" si="6"/>
        <v>6.7986019262823771E-2</v>
      </c>
      <c r="R7">
        <f t="shared" si="7"/>
        <v>0.40813753545718739</v>
      </c>
      <c r="S7">
        <f t="shared" si="8"/>
        <v>59.546647230320701</v>
      </c>
      <c r="T7">
        <f t="shared" si="9"/>
        <v>0.26569460483302382</v>
      </c>
      <c r="U7">
        <f t="shared" si="10"/>
        <v>265.69460483302385</v>
      </c>
    </row>
    <row r="8" spans="1:22">
      <c r="E8" s="1">
        <v>8.1558299999999999</v>
      </c>
      <c r="F8" s="1">
        <v>9.5299999999999994</v>
      </c>
      <c r="G8" s="1">
        <f t="shared" si="0"/>
        <v>9.5466472303207013</v>
      </c>
      <c r="I8" s="1">
        <v>51</v>
      </c>
      <c r="J8" s="1">
        <v>4.3982000000000001</v>
      </c>
      <c r="K8" s="1">
        <v>62.624099999999999</v>
      </c>
      <c r="L8">
        <f t="shared" si="1"/>
        <v>7.0231747841485948E-2</v>
      </c>
      <c r="M8">
        <f t="shared" si="2"/>
        <v>0.41258283802685447</v>
      </c>
      <c r="N8">
        <f t="shared" si="3"/>
        <v>0.9770820045247981</v>
      </c>
      <c r="O8">
        <f t="shared" si="4"/>
        <v>0.9765893881889498</v>
      </c>
      <c r="P8">
        <f t="shared" si="5"/>
        <v>1.0005044252393136</v>
      </c>
      <c r="Q8">
        <f t="shared" si="6"/>
        <v>7.1915329708556658E-2</v>
      </c>
      <c r="R8">
        <f t="shared" si="7"/>
        <v>0.41585362536332376</v>
      </c>
      <c r="S8">
        <f t="shared" si="8"/>
        <v>60.546647230320701</v>
      </c>
      <c r="T8">
        <f t="shared" si="9"/>
        <v>0.27257539599902292</v>
      </c>
      <c r="U8">
        <f t="shared" si="10"/>
        <v>272.57539599902293</v>
      </c>
    </row>
    <row r="9" spans="1:22">
      <c r="E9" s="1">
        <v>8.1558299999999999</v>
      </c>
      <c r="F9" s="1">
        <v>9.5299999999999994</v>
      </c>
      <c r="G9" s="1">
        <f t="shared" si="0"/>
        <v>9.5466472303207013</v>
      </c>
      <c r="I9" s="1">
        <v>52</v>
      </c>
      <c r="J9" s="1">
        <v>4.5331999999999999</v>
      </c>
      <c r="K9" s="1">
        <v>62.986400000000003</v>
      </c>
      <c r="L9">
        <f t="shared" si="1"/>
        <v>7.1971092172278456E-2</v>
      </c>
      <c r="M9">
        <f t="shared" si="2"/>
        <v>0.41596108057885917</v>
      </c>
      <c r="N9">
        <f t="shared" si="3"/>
        <v>0.9772104350939349</v>
      </c>
      <c r="O9">
        <f t="shared" si="4"/>
        <v>0.97702462275774471</v>
      </c>
      <c r="P9">
        <f t="shared" si="5"/>
        <v>1.0001901818356078</v>
      </c>
      <c r="Q9">
        <f t="shared" si="6"/>
        <v>7.3663539787905463E-2</v>
      </c>
      <c r="R9">
        <f t="shared" si="7"/>
        <v>0.4191963843561396</v>
      </c>
      <c r="S9">
        <f t="shared" si="8"/>
        <v>61.546647230320701</v>
      </c>
      <c r="T9">
        <f t="shared" si="9"/>
        <v>0.27788884882702547</v>
      </c>
      <c r="U9">
        <f t="shared" si="10"/>
        <v>277.88884882702547</v>
      </c>
    </row>
    <row r="10" spans="1:22">
      <c r="E10" s="1">
        <v>8.1558299999999999</v>
      </c>
      <c r="F10" s="1">
        <v>9.5299999999999994</v>
      </c>
      <c r="G10" s="1">
        <f t="shared" si="0"/>
        <v>9.5466472303207013</v>
      </c>
      <c r="I10" s="1">
        <v>55</v>
      </c>
      <c r="J10" s="1">
        <v>4.8577000000000004</v>
      </c>
      <c r="K10" s="1">
        <v>59.626899999999999</v>
      </c>
      <c r="L10">
        <f t="shared" si="1"/>
        <v>8.1468263485104886E-2</v>
      </c>
      <c r="M10">
        <f t="shared" si="2"/>
        <v>0.43350703845283178</v>
      </c>
      <c r="N10">
        <f t="shared" si="3"/>
        <v>0.97801420235586778</v>
      </c>
      <c r="O10">
        <f t="shared" si="4"/>
        <v>0.97850004136148527</v>
      </c>
      <c r="P10">
        <f t="shared" si="5"/>
        <v>0.99950348596312633</v>
      </c>
      <c r="Q10">
        <f t="shared" si="6"/>
        <v>8.3258313787856281E-2</v>
      </c>
      <c r="R10">
        <f t="shared" si="7"/>
        <v>0.43665912179804939</v>
      </c>
      <c r="S10">
        <f t="shared" si="8"/>
        <v>64.546647230320701</v>
      </c>
      <c r="T10">
        <f t="shared" si="9"/>
        <v>0.26861162934492006</v>
      </c>
      <c r="U10">
        <f t="shared" si="10"/>
        <v>268.61162934492006</v>
      </c>
    </row>
    <row r="11" spans="1:22">
      <c r="E11" s="1">
        <v>8.1558299999999999</v>
      </c>
      <c r="F11" s="1">
        <v>9.5299999999999994</v>
      </c>
      <c r="G11" s="1">
        <f t="shared" si="0"/>
        <v>9.5466472303207013</v>
      </c>
      <c r="I11" s="1">
        <v>60</v>
      </c>
      <c r="J11" s="1">
        <v>5.6909999999999998</v>
      </c>
      <c r="K11" s="1">
        <v>55.51</v>
      </c>
      <c r="L11">
        <f t="shared" si="1"/>
        <v>0.10252206809583859</v>
      </c>
      <c r="M11">
        <f t="shared" si="2"/>
        <v>0.46802866495935985</v>
      </c>
      <c r="N11">
        <f t="shared" si="3"/>
        <v>0.97796153136249997</v>
      </c>
      <c r="O11">
        <f t="shared" si="4"/>
        <v>0.97954084614633452</v>
      </c>
      <c r="P11">
        <f t="shared" si="5"/>
        <v>0.99838769889990009</v>
      </c>
      <c r="Q11">
        <f t="shared" si="6"/>
        <v>0.10466339254680017</v>
      </c>
      <c r="R11">
        <f t="shared" si="7"/>
        <v>0.47126472789669721</v>
      </c>
      <c r="S11">
        <f t="shared" si="8"/>
        <v>69.546647230320701</v>
      </c>
      <c r="T11">
        <f t="shared" si="9"/>
        <v>0.27159645790057896</v>
      </c>
      <c r="U11">
        <f t="shared" si="10"/>
        <v>271.59645790057897</v>
      </c>
    </row>
    <row r="12" spans="1:22">
      <c r="E12" s="1">
        <v>8.1558299999999999</v>
      </c>
      <c r="F12" s="1">
        <v>9.5299999999999994</v>
      </c>
      <c r="G12" s="1">
        <f t="shared" si="0"/>
        <v>9.5466472303207013</v>
      </c>
      <c r="I12" s="1">
        <v>65</v>
      </c>
      <c r="J12" s="1">
        <v>6.4847999999999999</v>
      </c>
      <c r="K12" s="1">
        <v>49.449800000000003</v>
      </c>
      <c r="L12">
        <f t="shared" si="1"/>
        <v>0.13113905415188737</v>
      </c>
      <c r="M12">
        <f t="shared" si="2"/>
        <v>0.50805494444650656</v>
      </c>
      <c r="N12">
        <f t="shared" si="3"/>
        <v>0.97823688073656812</v>
      </c>
      <c r="O12">
        <f t="shared" si="4"/>
        <v>0.98050880475005542</v>
      </c>
      <c r="P12">
        <f t="shared" si="5"/>
        <v>0.99768291319518909</v>
      </c>
      <c r="Q12">
        <f t="shared" si="6"/>
        <v>0.13374592203209887</v>
      </c>
      <c r="R12">
        <f t="shared" si="7"/>
        <v>0.51139936334569736</v>
      </c>
      <c r="S12">
        <f t="shared" si="8"/>
        <v>74.546647230320701</v>
      </c>
      <c r="T12">
        <f t="shared" si="9"/>
        <v>0.25701993521665212</v>
      </c>
      <c r="U12">
        <f t="shared" si="10"/>
        <v>257.01993521665213</v>
      </c>
    </row>
    <row r="13" spans="1:22">
      <c r="E13" s="1">
        <v>8.1558299999999999</v>
      </c>
      <c r="F13" s="1">
        <v>9.5299999999999994</v>
      </c>
      <c r="G13" s="1">
        <f t="shared" si="0"/>
        <v>9.5466472303207013</v>
      </c>
      <c r="I13" s="1">
        <v>70</v>
      </c>
      <c r="J13" s="1">
        <v>7.0891999999999999</v>
      </c>
      <c r="K13" s="1">
        <v>46.1892</v>
      </c>
      <c r="L13">
        <f t="shared" si="1"/>
        <v>0.15348176630034727</v>
      </c>
      <c r="M13">
        <f t="shared" si="2"/>
        <v>0.53540891240685495</v>
      </c>
      <c r="N13">
        <f t="shared" si="3"/>
        <v>0.97922357305183672</v>
      </c>
      <c r="O13">
        <f t="shared" si="4"/>
        <v>0.98181065930834399</v>
      </c>
      <c r="P13">
        <f t="shared" si="5"/>
        <v>0.99736498454974021</v>
      </c>
      <c r="Q13">
        <f t="shared" si="6"/>
        <v>0.15632521896683271</v>
      </c>
      <c r="R13">
        <f t="shared" si="7"/>
        <v>0.53869508763013019</v>
      </c>
      <c r="S13">
        <f t="shared" si="8"/>
        <v>79.546647230320701</v>
      </c>
      <c r="T13">
        <f t="shared" si="9"/>
        <v>0.24587318769404032</v>
      </c>
      <c r="U13">
        <f t="shared" si="10"/>
        <v>245.87318769404033</v>
      </c>
    </row>
    <row r="14" spans="1:22">
      <c r="E14" s="1">
        <v>8.1558299999999999</v>
      </c>
      <c r="F14" s="1">
        <v>9.5299999999999994</v>
      </c>
      <c r="G14" s="1">
        <f t="shared" si="0"/>
        <v>9.5466472303207013</v>
      </c>
      <c r="I14" s="1">
        <v>75</v>
      </c>
      <c r="J14" s="1">
        <v>8.1910000000000007</v>
      </c>
      <c r="K14" s="1">
        <v>42.730899999999998</v>
      </c>
      <c r="L14">
        <f t="shared" si="1"/>
        <v>0.19168798223299768</v>
      </c>
      <c r="M14">
        <f t="shared" si="2"/>
        <v>0.57658715348501555</v>
      </c>
      <c r="N14">
        <f t="shared" si="3"/>
        <v>0.97860722673866674</v>
      </c>
      <c r="O14">
        <f t="shared" si="4"/>
        <v>0.98173614790319141</v>
      </c>
      <c r="P14">
        <f t="shared" si="5"/>
        <v>0.99681286955644088</v>
      </c>
      <c r="Q14">
        <f t="shared" si="6"/>
        <v>0.19525407375740222</v>
      </c>
      <c r="R14">
        <f t="shared" si="7"/>
        <v>0.58014074443812891</v>
      </c>
      <c r="S14">
        <f t="shared" si="8"/>
        <v>84.546647230320701</v>
      </c>
      <c r="T14">
        <f t="shared" si="9"/>
        <v>0.2471368333830461</v>
      </c>
      <c r="U14">
        <f t="shared" si="10"/>
        <v>247.13683338304608</v>
      </c>
    </row>
    <row r="15" spans="1:22">
      <c r="E15" s="1">
        <v>8.1558299999999999</v>
      </c>
      <c r="F15" s="1">
        <v>9.5299999999999994</v>
      </c>
      <c r="G15" s="1">
        <f t="shared" si="0"/>
        <v>9.5466472303207013</v>
      </c>
      <c r="I15" s="1">
        <v>80</v>
      </c>
      <c r="J15" s="1">
        <v>8.9452999999999996</v>
      </c>
      <c r="K15" s="1">
        <v>39.305599999999998</v>
      </c>
      <c r="L15">
        <f t="shared" si="1"/>
        <v>0.22758334690222259</v>
      </c>
      <c r="M15">
        <f t="shared" si="2"/>
        <v>0.61053911570708275</v>
      </c>
      <c r="N15">
        <f t="shared" si="3"/>
        <v>0.9791499942538282</v>
      </c>
      <c r="O15">
        <f t="shared" si="4"/>
        <v>0.98245213010461185</v>
      </c>
      <c r="P15">
        <f t="shared" si="5"/>
        <v>0.99663888371799647</v>
      </c>
      <c r="Q15">
        <f t="shared" si="6"/>
        <v>0.23164828079510544</v>
      </c>
      <c r="R15">
        <f t="shared" si="7"/>
        <v>0.61415269290663344</v>
      </c>
      <c r="S15">
        <f t="shared" si="8"/>
        <v>89.546647230320701</v>
      </c>
      <c r="T15">
        <f t="shared" si="9"/>
        <v>0.23435763292226053</v>
      </c>
      <c r="U15">
        <f t="shared" si="10"/>
        <v>234.35763292226054</v>
      </c>
    </row>
    <row r="16" spans="1:22">
      <c r="E16" s="1">
        <v>8.1558299999999999</v>
      </c>
      <c r="F16" s="1">
        <v>9.5299999999999994</v>
      </c>
      <c r="G16" s="1">
        <f t="shared" si="0"/>
        <v>9.5466472303207013</v>
      </c>
      <c r="I16" s="1">
        <v>85</v>
      </c>
      <c r="J16" s="1">
        <v>9.7588000000000008</v>
      </c>
      <c r="K16" s="1">
        <v>36.110900000000001</v>
      </c>
      <c r="L16">
        <f t="shared" si="1"/>
        <v>0.27024527220312983</v>
      </c>
      <c r="M16">
        <f t="shared" si="2"/>
        <v>0.64652605997786816</v>
      </c>
      <c r="N16">
        <f t="shared" si="3"/>
        <v>0.97952153301896194</v>
      </c>
      <c r="O16">
        <f t="shared" si="4"/>
        <v>0.98296389391749583</v>
      </c>
      <c r="P16">
        <f t="shared" si="5"/>
        <v>0.99649797828807862</v>
      </c>
      <c r="Q16">
        <f t="shared" si="6"/>
        <v>0.27492899167038237</v>
      </c>
      <c r="R16">
        <f t="shared" si="7"/>
        <v>0.65023974719771227</v>
      </c>
      <c r="S16">
        <f t="shared" si="8"/>
        <v>94.546647230320701</v>
      </c>
      <c r="T16">
        <f t="shared" si="9"/>
        <v>0.22243661865731254</v>
      </c>
      <c r="U16">
        <f t="shared" si="10"/>
        <v>222.43661865731255</v>
      </c>
    </row>
    <row r="17" spans="5:21">
      <c r="E17" s="1">
        <v>8.1558299999999999</v>
      </c>
      <c r="F17" s="1">
        <v>9.5299999999999994</v>
      </c>
      <c r="G17" s="1">
        <f t="shared" si="0"/>
        <v>9.5466472303207013</v>
      </c>
      <c r="I17" s="1">
        <v>90</v>
      </c>
      <c r="J17" s="1">
        <v>11.0121</v>
      </c>
      <c r="K17" s="1">
        <v>34.299399999999999</v>
      </c>
      <c r="L17">
        <f t="shared" si="1"/>
        <v>0.32105809431068766</v>
      </c>
      <c r="M17">
        <f t="shared" si="2"/>
        <v>0.68474343087120026</v>
      </c>
      <c r="N17">
        <f t="shared" si="3"/>
        <v>0.97887665095833332</v>
      </c>
      <c r="O17">
        <f t="shared" si="4"/>
        <v>0.98262886217737699</v>
      </c>
      <c r="P17">
        <f t="shared" si="5"/>
        <v>0.99618145633262867</v>
      </c>
      <c r="Q17">
        <f t="shared" si="6"/>
        <v>0.32673383275071416</v>
      </c>
      <c r="R17">
        <f t="shared" si="7"/>
        <v>0.68875490136581508</v>
      </c>
      <c r="S17">
        <f t="shared" si="8"/>
        <v>99.546647230320701</v>
      </c>
      <c r="T17">
        <f t="shared" si="9"/>
        <v>0.22636524622421353</v>
      </c>
      <c r="U17">
        <f t="shared" si="10"/>
        <v>226.36524622421354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CB6B-BFE4-4AF1-944B-A812AB9A24F8}">
  <dimension ref="A1:V17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1640625" bestFit="1" customWidth="1"/>
    <col min="6" max="6" width="6.58203125" bestFit="1" customWidth="1"/>
    <col min="7" max="7" width="11.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3" width="12.33203125" bestFit="1" customWidth="1"/>
    <col min="14" max="14" width="11.25" bestFit="1" customWidth="1"/>
    <col min="15" max="15" width="12.33203125" bestFit="1" customWidth="1"/>
    <col min="16" max="16" width="11.25" bestFit="1" customWidth="1"/>
    <col min="17" max="17" width="12.33203125" bestFit="1" customWidth="1"/>
    <col min="18" max="18" width="11.25" bestFit="1" customWidth="1"/>
    <col min="19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76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75</v>
      </c>
      <c r="B2" s="2">
        <v>3.85</v>
      </c>
      <c r="C2" s="2">
        <v>25.06</v>
      </c>
      <c r="D2" s="2">
        <v>45</v>
      </c>
      <c r="E2" s="2">
        <v>8.2550000000000008</v>
      </c>
      <c r="F2" s="2">
        <v>9.5350000000000001</v>
      </c>
      <c r="G2" s="2">
        <f>0.05869/0.00692</f>
        <v>8.4812138728323703</v>
      </c>
      <c r="H2" s="2" t="s">
        <v>9</v>
      </c>
      <c r="I2" s="2">
        <v>45</v>
      </c>
      <c r="J2" s="2">
        <v>3.1400999999999999</v>
      </c>
      <c r="K2" s="2">
        <v>62.4345</v>
      </c>
      <c r="L2" s="3">
        <f>J2:J25/K2:K25</f>
        <v>5.0294308435240132E-2</v>
      </c>
      <c r="M2" s="3">
        <f>(L2:L25)^(1/3)</f>
        <v>0.36912456395222842</v>
      </c>
      <c r="N2" s="3">
        <f>1-((3/10)*(J2:J25/I2:I25)^2)-((3/2)*((J2:J25*E2)/(I2:I25)^2))</f>
        <v>0.97933809547999995</v>
      </c>
      <c r="O2" s="3">
        <f>1-(F2/I2:I25)^3-((9/8)*(1-(F2/I2:I25)^2)*((J2:J25*E2)/I2:I25^2))-((9/35)*(J2:J25/I2:I25)^2)</f>
        <v>0.97548045896504054</v>
      </c>
      <c r="P2" s="3">
        <f>N2:N25/O2:O25</f>
        <v>1.0039546015294374</v>
      </c>
      <c r="Q2" s="3">
        <f>L2:L25/O2:O25</f>
        <v>5.1558499171373548E-2</v>
      </c>
      <c r="R2" s="3">
        <f>Q2:Q25^(1/3)</f>
        <v>0.37219176139411014</v>
      </c>
      <c r="S2" s="3">
        <f>I2:I25+G2</f>
        <v>53.48121387283237</v>
      </c>
      <c r="T2" s="3">
        <f>(P2:P25*3*K2:K25*J2:J25)/(2*25.06*S2:S25)</f>
        <v>0.22028814609515698</v>
      </c>
      <c r="U2" s="3">
        <f>T2:T25*1000</f>
        <v>220.28814609515697</v>
      </c>
      <c r="V2">
        <f>AVERAGE(U3:U17)</f>
        <v>238.13281121013503</v>
      </c>
    </row>
    <row r="3" spans="1:22">
      <c r="E3" s="1">
        <v>8.2550000000000008</v>
      </c>
      <c r="F3" s="1">
        <v>9.5350000000000001</v>
      </c>
      <c r="G3" s="1">
        <f t="shared" ref="G3:G17" si="0">0.05869/0.00692</f>
        <v>8.4812138728323703</v>
      </c>
      <c r="I3" s="1">
        <v>46</v>
      </c>
      <c r="J3" s="1">
        <v>3.3096000000000001</v>
      </c>
      <c r="K3" s="1">
        <v>63.5792</v>
      </c>
      <c r="L3">
        <f t="shared" ref="L3:L17" si="1">J3:J26/K3:K26</f>
        <v>5.205476004731107E-2</v>
      </c>
      <c r="M3">
        <f t="shared" ref="M3:M17" si="2">(L3:L26)^(1/3)</f>
        <v>0.37338209054224797</v>
      </c>
      <c r="N3">
        <f t="shared" ref="N3:N17" si="3">1-((3/10)*(J3:J26/I3:I26)^2)-((3/2)*((J3:J26*E3)/(I3:I26)^2))</f>
        <v>0.97907979317202276</v>
      </c>
      <c r="O3">
        <f t="shared" ref="O3:O17" si="4">1-(F3/I3:I26)^3-((9/8)*(1-(F3/I3:I26)^2)*((J3:J26*E3)/I3:I26^2))-((9/35)*(J3:J26/I3:I26)^2)</f>
        <v>0.97586143801792458</v>
      </c>
      <c r="P3">
        <f t="shared" ref="P3:P17" si="5">N3:N26/O3:O26</f>
        <v>1.0032979632442849</v>
      </c>
      <c r="Q3">
        <f t="shared" ref="Q3:Q17" si="6">L3:L26/O3:O26</f>
        <v>5.3342368106111114E-2</v>
      </c>
      <c r="R3">
        <f t="shared" ref="R3:R17" si="7">Q3:Q26^(1/3)</f>
        <v>0.37643566546904628</v>
      </c>
      <c r="S3">
        <f t="shared" ref="S3:S17" si="8">I3:I26+G3</f>
        <v>54.48121387283237</v>
      </c>
      <c r="T3">
        <f t="shared" ref="T3:T17" si="9">(P3:P26*3*K3:K26*J3:J26)/(2*25.06*S3:S26)</f>
        <v>0.23194441230953386</v>
      </c>
      <c r="U3">
        <f t="shared" ref="U3:U17" si="10">T3:T26*1000</f>
        <v>231.94441230953385</v>
      </c>
    </row>
    <row r="4" spans="1:22">
      <c r="E4" s="1">
        <v>8.2550000000000008</v>
      </c>
      <c r="F4" s="1">
        <v>9.5350000000000001</v>
      </c>
      <c r="G4" s="1">
        <f t="shared" si="0"/>
        <v>8.4812138728323703</v>
      </c>
      <c r="I4" s="1">
        <v>47</v>
      </c>
      <c r="J4" s="1">
        <v>3.5089000000000001</v>
      </c>
      <c r="K4" s="1">
        <v>62.755800000000001</v>
      </c>
      <c r="L4">
        <f t="shared" si="1"/>
        <v>5.5913556993935222E-2</v>
      </c>
      <c r="M4">
        <f t="shared" si="2"/>
        <v>0.38238927860299599</v>
      </c>
      <c r="N4">
        <f t="shared" si="3"/>
        <v>0.97865881936939791</v>
      </c>
      <c r="O4">
        <f t="shared" si="4"/>
        <v>0.97607244641516533</v>
      </c>
      <c r="P4">
        <f t="shared" si="5"/>
        <v>1.0026497756019357</v>
      </c>
      <c r="Q4">
        <f t="shared" si="6"/>
        <v>5.7284228439486953E-2</v>
      </c>
      <c r="R4">
        <f t="shared" si="7"/>
        <v>0.3854887332080203</v>
      </c>
      <c r="S4">
        <f t="shared" si="8"/>
        <v>55.48121387283237</v>
      </c>
      <c r="T4">
        <f t="shared" si="9"/>
        <v>0.23819813709974746</v>
      </c>
      <c r="U4">
        <f t="shared" si="10"/>
        <v>238.19813709974747</v>
      </c>
    </row>
    <row r="5" spans="1:22">
      <c r="E5" s="1">
        <v>8.2550000000000008</v>
      </c>
      <c r="F5" s="1">
        <v>9.5350000000000001</v>
      </c>
      <c r="G5" s="1">
        <f t="shared" si="0"/>
        <v>8.4812138728323703</v>
      </c>
      <c r="I5" s="1">
        <v>48</v>
      </c>
      <c r="J5" s="1">
        <v>3.6027999999999998</v>
      </c>
      <c r="K5" s="1">
        <v>61.668999999999997</v>
      </c>
      <c r="L5">
        <f t="shared" si="1"/>
        <v>5.8421573237769378E-2</v>
      </c>
      <c r="M5">
        <f t="shared" si="2"/>
        <v>0.38802325036428409</v>
      </c>
      <c r="N5">
        <f t="shared" si="3"/>
        <v>0.97894716955208338</v>
      </c>
      <c r="O5">
        <f t="shared" si="4"/>
        <v>0.97676373612022949</v>
      </c>
      <c r="P5">
        <f t="shared" si="5"/>
        <v>1.0022353751998683</v>
      </c>
      <c r="Q5">
        <f t="shared" si="6"/>
        <v>5.9811365919279262E-2</v>
      </c>
      <c r="R5">
        <f t="shared" si="7"/>
        <v>0.39107606816506979</v>
      </c>
      <c r="S5">
        <f t="shared" si="8"/>
        <v>56.48121387283237</v>
      </c>
      <c r="T5">
        <f t="shared" si="9"/>
        <v>0.23598421743433107</v>
      </c>
      <c r="U5">
        <f t="shared" si="10"/>
        <v>235.98421743433107</v>
      </c>
    </row>
    <row r="6" spans="1:22">
      <c r="E6" s="1">
        <v>8.2550000000000008</v>
      </c>
      <c r="F6" s="1">
        <v>9.5350000000000001</v>
      </c>
      <c r="G6" s="1">
        <f t="shared" si="0"/>
        <v>8.4812138728323703</v>
      </c>
      <c r="I6" s="1">
        <v>49</v>
      </c>
      <c r="J6" s="1">
        <v>3.8233999999999999</v>
      </c>
      <c r="K6" s="1">
        <v>61.174900000000001</v>
      </c>
      <c r="L6">
        <f t="shared" si="1"/>
        <v>6.2499489169577718E-2</v>
      </c>
      <c r="M6">
        <f t="shared" si="2"/>
        <v>0.39684918179877132</v>
      </c>
      <c r="N6">
        <f t="shared" si="3"/>
        <v>0.97845532412827996</v>
      </c>
      <c r="O6">
        <f t="shared" si="4"/>
        <v>0.97683736651624631</v>
      </c>
      <c r="P6">
        <f t="shared" si="5"/>
        <v>1.0016563224007327</v>
      </c>
      <c r="Q6">
        <f t="shared" si="6"/>
        <v>6.3981468473583672E-2</v>
      </c>
      <c r="R6">
        <f t="shared" si="7"/>
        <v>0.39996138892638172</v>
      </c>
      <c r="S6">
        <f t="shared" si="8"/>
        <v>57.48121387283237</v>
      </c>
      <c r="T6">
        <f t="shared" si="9"/>
        <v>0.24396414419006784</v>
      </c>
      <c r="U6">
        <f t="shared" si="10"/>
        <v>243.96414419006786</v>
      </c>
    </row>
    <row r="7" spans="1:22">
      <c r="E7" s="1">
        <v>8.2550000000000008</v>
      </c>
      <c r="F7" s="1">
        <v>9.5350000000000001</v>
      </c>
      <c r="G7" s="1">
        <f t="shared" si="0"/>
        <v>8.4812138728323703</v>
      </c>
      <c r="I7" s="1">
        <v>50</v>
      </c>
      <c r="J7" s="1">
        <v>3.9815</v>
      </c>
      <c r="K7" s="1">
        <v>60.417400000000001</v>
      </c>
      <c r="L7">
        <f t="shared" si="1"/>
        <v>6.5899889766855249E-2</v>
      </c>
      <c r="M7">
        <f t="shared" si="2"/>
        <v>0.40391957064481332</v>
      </c>
      <c r="N7">
        <f t="shared" si="3"/>
        <v>0.97837734942999999</v>
      </c>
      <c r="O7">
        <f t="shared" si="4"/>
        <v>0.97718197706573495</v>
      </c>
      <c r="P7">
        <f t="shared" si="5"/>
        <v>1.001223285316676</v>
      </c>
      <c r="Q7">
        <f t="shared" si="6"/>
        <v>6.7438707746880766E-2</v>
      </c>
      <c r="R7">
        <f t="shared" si="7"/>
        <v>0.40703936607857688</v>
      </c>
      <c r="S7">
        <f t="shared" si="8"/>
        <v>58.48121387283237</v>
      </c>
      <c r="T7">
        <f t="shared" si="9"/>
        <v>0.24650941283308847</v>
      </c>
      <c r="U7">
        <f t="shared" si="10"/>
        <v>246.50941283308848</v>
      </c>
    </row>
    <row r="8" spans="1:22">
      <c r="E8" s="1">
        <v>8.2550000000000008</v>
      </c>
      <c r="F8" s="1">
        <v>9.5350000000000001</v>
      </c>
      <c r="G8" s="1">
        <f t="shared" si="0"/>
        <v>8.4812138728323703</v>
      </c>
      <c r="I8" s="1">
        <v>51</v>
      </c>
      <c r="J8" s="1">
        <v>4.1247999999999996</v>
      </c>
      <c r="K8" s="1">
        <v>60.549100000000003</v>
      </c>
      <c r="L8">
        <f t="shared" si="1"/>
        <v>6.8123225613592922E-2</v>
      </c>
      <c r="M8">
        <f t="shared" si="2"/>
        <v>0.40841191261608289</v>
      </c>
      <c r="N8">
        <f t="shared" si="3"/>
        <v>0.97840079641983857</v>
      </c>
      <c r="O8">
        <f t="shared" si="4"/>
        <v>0.97757004437242079</v>
      </c>
      <c r="P8">
        <f t="shared" si="5"/>
        <v>1.0008498133225339</v>
      </c>
      <c r="Q8">
        <f t="shared" si="6"/>
        <v>6.9686285914506096E-2</v>
      </c>
      <c r="R8">
        <f t="shared" si="7"/>
        <v>0.41151193878414671</v>
      </c>
      <c r="S8">
        <f t="shared" si="8"/>
        <v>59.48121387283237</v>
      </c>
      <c r="T8">
        <f t="shared" si="9"/>
        <v>0.25154162944964265</v>
      </c>
      <c r="U8">
        <f t="shared" si="10"/>
        <v>251.54162944964264</v>
      </c>
    </row>
    <row r="9" spans="1:22">
      <c r="E9" s="1">
        <v>8.2550000000000008</v>
      </c>
      <c r="F9" s="1">
        <v>9.5350000000000001</v>
      </c>
      <c r="G9" s="1">
        <f t="shared" si="0"/>
        <v>8.4812138728323703</v>
      </c>
      <c r="I9" s="1">
        <v>52</v>
      </c>
      <c r="J9" s="1">
        <v>4.2286000000000001</v>
      </c>
      <c r="K9" s="1">
        <v>60.318600000000004</v>
      </c>
      <c r="L9">
        <f t="shared" si="1"/>
        <v>7.0104412237684557E-2</v>
      </c>
      <c r="M9">
        <f t="shared" si="2"/>
        <v>0.41233333895489704</v>
      </c>
      <c r="N9">
        <f t="shared" si="3"/>
        <v>0.9786520129852071</v>
      </c>
      <c r="O9">
        <f t="shared" si="4"/>
        <v>0.9780994938920029</v>
      </c>
      <c r="P9">
        <f t="shared" si="5"/>
        <v>1.0005648904806255</v>
      </c>
      <c r="Q9">
        <f t="shared" si="6"/>
        <v>7.1674111555593084E-2</v>
      </c>
      <c r="R9">
        <f t="shared" si="7"/>
        <v>0.41538815294342113</v>
      </c>
      <c r="S9">
        <f t="shared" si="8"/>
        <v>60.48121387283237</v>
      </c>
      <c r="T9">
        <f t="shared" si="9"/>
        <v>0.2525706089889615</v>
      </c>
      <c r="U9">
        <f t="shared" si="10"/>
        <v>252.57060898896151</v>
      </c>
    </row>
    <row r="10" spans="1:22">
      <c r="E10" s="1">
        <v>8.2550000000000008</v>
      </c>
      <c r="F10" s="1">
        <v>9.5350000000000001</v>
      </c>
      <c r="G10" s="1">
        <f t="shared" si="0"/>
        <v>8.4812138728323703</v>
      </c>
      <c r="I10" s="1">
        <v>55</v>
      </c>
      <c r="J10" s="1">
        <v>4.6978999999999997</v>
      </c>
      <c r="K10" s="1">
        <v>56.7286</v>
      </c>
      <c r="L10">
        <f t="shared" si="1"/>
        <v>8.2813607245727894E-2</v>
      </c>
      <c r="M10">
        <f t="shared" si="2"/>
        <v>0.43588029294688457</v>
      </c>
      <c r="N10">
        <f t="shared" si="3"/>
        <v>0.97858088394280984</v>
      </c>
      <c r="O10">
        <f t="shared" si="4"/>
        <v>0.97892418956752925</v>
      </c>
      <c r="P10">
        <f t="shared" si="5"/>
        <v>0.99964930315505729</v>
      </c>
      <c r="Q10">
        <f t="shared" si="6"/>
        <v>8.4596548055793197E-2</v>
      </c>
      <c r="R10">
        <f t="shared" si="7"/>
        <v>0.4389862128940365</v>
      </c>
      <c r="S10">
        <f t="shared" si="8"/>
        <v>63.48121387283237</v>
      </c>
      <c r="T10">
        <f t="shared" si="9"/>
        <v>0.25119932682487389</v>
      </c>
      <c r="U10">
        <f t="shared" si="10"/>
        <v>251.19932682487388</v>
      </c>
    </row>
    <row r="11" spans="1:22">
      <c r="E11" s="1">
        <v>8.2550000000000008</v>
      </c>
      <c r="F11" s="1">
        <v>9.5350000000000001</v>
      </c>
      <c r="G11" s="1">
        <f t="shared" si="0"/>
        <v>8.4812138728323703</v>
      </c>
      <c r="I11" s="1">
        <v>60</v>
      </c>
      <c r="J11" s="1">
        <v>5.3929</v>
      </c>
      <c r="K11" s="1">
        <v>52.084699999999998</v>
      </c>
      <c r="L11">
        <f t="shared" si="1"/>
        <v>0.10354096308512865</v>
      </c>
      <c r="M11">
        <f t="shared" si="2"/>
        <v>0.46957402642675278</v>
      </c>
      <c r="N11">
        <f t="shared" si="3"/>
        <v>0.97902705684083324</v>
      </c>
      <c r="O11">
        <f t="shared" si="4"/>
        <v>0.98034859823635923</v>
      </c>
      <c r="P11">
        <f t="shared" si="5"/>
        <v>0.99865196788376764</v>
      </c>
      <c r="Q11">
        <f t="shared" si="6"/>
        <v>0.10561647486557146</v>
      </c>
      <c r="R11">
        <f t="shared" si="7"/>
        <v>0.47269087944467042</v>
      </c>
      <c r="S11">
        <f t="shared" si="8"/>
        <v>68.48121387283237</v>
      </c>
      <c r="T11">
        <f t="shared" si="9"/>
        <v>0.2451802248389077</v>
      </c>
      <c r="U11">
        <f t="shared" si="10"/>
        <v>245.18022483890769</v>
      </c>
    </row>
    <row r="12" spans="1:22">
      <c r="E12" s="1">
        <v>8.2550000000000008</v>
      </c>
      <c r="F12" s="1">
        <v>9.5350000000000001</v>
      </c>
      <c r="G12" s="1">
        <f t="shared" si="0"/>
        <v>8.4812138728323703</v>
      </c>
      <c r="I12" s="1">
        <v>65</v>
      </c>
      <c r="J12" s="1">
        <v>6.0153999999999996</v>
      </c>
      <c r="K12" s="1">
        <v>48.132399999999997</v>
      </c>
      <c r="L12">
        <f t="shared" si="1"/>
        <v>0.12497610756995288</v>
      </c>
      <c r="M12">
        <f t="shared" si="2"/>
        <v>0.49996814139670581</v>
      </c>
      <c r="N12">
        <f t="shared" si="3"/>
        <v>0.97980089901822487</v>
      </c>
      <c r="O12">
        <f t="shared" si="4"/>
        <v>0.98170329470242679</v>
      </c>
      <c r="P12">
        <f t="shared" si="5"/>
        <v>0.99806214800900861</v>
      </c>
      <c r="Q12">
        <f t="shared" si="6"/>
        <v>0.12730537652706519</v>
      </c>
      <c r="R12">
        <f t="shared" si="7"/>
        <v>0.50305512971293009</v>
      </c>
      <c r="S12">
        <f t="shared" si="8"/>
        <v>73.48121387283237</v>
      </c>
      <c r="T12">
        <f t="shared" si="9"/>
        <v>0.23539296762670603</v>
      </c>
      <c r="U12">
        <f t="shared" si="10"/>
        <v>235.39296762670602</v>
      </c>
    </row>
    <row r="13" spans="1:22">
      <c r="E13" s="1">
        <v>8.2550000000000008</v>
      </c>
      <c r="F13" s="1">
        <v>9.5350000000000001</v>
      </c>
      <c r="G13" s="1">
        <f t="shared" si="0"/>
        <v>8.4812138728323703</v>
      </c>
      <c r="I13" s="1">
        <v>70</v>
      </c>
      <c r="J13" s="1">
        <v>6.8224</v>
      </c>
      <c r="K13" s="1">
        <v>43.719000000000001</v>
      </c>
      <c r="L13">
        <f t="shared" si="1"/>
        <v>0.15605114481118049</v>
      </c>
      <c r="M13">
        <f t="shared" si="2"/>
        <v>0.53838008456549902</v>
      </c>
      <c r="N13">
        <f t="shared" si="3"/>
        <v>0.97990981417795919</v>
      </c>
      <c r="O13">
        <f t="shared" si="4"/>
        <v>0.98233958456229442</v>
      </c>
      <c r="P13">
        <f t="shared" si="5"/>
        <v>0.99752654741545621</v>
      </c>
      <c r="Q13">
        <f t="shared" si="6"/>
        <v>0.15885661869231596</v>
      </c>
      <c r="R13">
        <f t="shared" si="7"/>
        <v>0.54158725798466323</v>
      </c>
      <c r="S13">
        <f t="shared" si="8"/>
        <v>78.48121387283237</v>
      </c>
      <c r="T13">
        <f t="shared" si="9"/>
        <v>0.22692186357559124</v>
      </c>
      <c r="U13">
        <f t="shared" si="10"/>
        <v>226.92186357559123</v>
      </c>
    </row>
    <row r="14" spans="1:22">
      <c r="E14" s="1">
        <v>8.2550000000000008</v>
      </c>
      <c r="F14" s="1">
        <v>9.5350000000000001</v>
      </c>
      <c r="G14" s="1">
        <f t="shared" si="0"/>
        <v>8.4812138728323703</v>
      </c>
      <c r="I14" s="1">
        <v>75</v>
      </c>
      <c r="J14" s="1">
        <v>7.7907999999999999</v>
      </c>
      <c r="K14" s="1">
        <v>41.512300000000003</v>
      </c>
      <c r="L14">
        <f t="shared" si="1"/>
        <v>0.18767449647453885</v>
      </c>
      <c r="M14">
        <f t="shared" si="2"/>
        <v>0.57253462053577286</v>
      </c>
      <c r="N14">
        <f t="shared" si="3"/>
        <v>0.97961270215253338</v>
      </c>
      <c r="O14">
        <f t="shared" si="4"/>
        <v>0.98251574461848201</v>
      </c>
      <c r="P14">
        <f t="shared" si="5"/>
        <v>0.9970452967478135</v>
      </c>
      <c r="Q14">
        <f t="shared" si="6"/>
        <v>0.19101423819667562</v>
      </c>
      <c r="R14">
        <f t="shared" si="7"/>
        <v>0.57591083186460346</v>
      </c>
      <c r="S14">
        <f t="shared" si="8"/>
        <v>83.48121387283237</v>
      </c>
      <c r="T14">
        <f t="shared" si="9"/>
        <v>0.2312039119538237</v>
      </c>
      <c r="U14">
        <f t="shared" si="10"/>
        <v>231.20391195382371</v>
      </c>
    </row>
    <row r="15" spans="1:22">
      <c r="E15" s="1">
        <v>8.2550000000000008</v>
      </c>
      <c r="F15" s="1">
        <v>9.5350000000000001</v>
      </c>
      <c r="G15" s="1">
        <f t="shared" si="0"/>
        <v>8.4812138728323703</v>
      </c>
      <c r="I15" s="1">
        <v>80</v>
      </c>
      <c r="J15" s="1">
        <v>8.7164000000000001</v>
      </c>
      <c r="K15" s="1">
        <v>38.646900000000002</v>
      </c>
      <c r="L15">
        <f t="shared" si="1"/>
        <v>0.22553943524577649</v>
      </c>
      <c r="M15">
        <f t="shared" si="2"/>
        <v>0.60870587890503236</v>
      </c>
      <c r="N15">
        <f t="shared" si="3"/>
        <v>0.97957445129874998</v>
      </c>
      <c r="O15">
        <f t="shared" si="4"/>
        <v>0.98278580255043035</v>
      </c>
      <c r="P15">
        <f t="shared" si="5"/>
        <v>0.99673239963037052</v>
      </c>
      <c r="Q15">
        <f t="shared" si="6"/>
        <v>0.22948992004206659</v>
      </c>
      <c r="R15">
        <f t="shared" si="7"/>
        <v>0.61223930155904183</v>
      </c>
      <c r="S15">
        <f t="shared" si="8"/>
        <v>88.48121387283237</v>
      </c>
      <c r="T15">
        <f t="shared" si="9"/>
        <v>0.22713785038878548</v>
      </c>
      <c r="U15">
        <f t="shared" si="10"/>
        <v>227.13785038878547</v>
      </c>
    </row>
    <row r="16" spans="1:22">
      <c r="E16" s="1">
        <v>8.2550000000000008</v>
      </c>
      <c r="F16" s="1">
        <v>9.5350000000000001</v>
      </c>
      <c r="G16" s="1">
        <f t="shared" si="0"/>
        <v>8.4812138728323703</v>
      </c>
      <c r="I16" s="1">
        <v>85</v>
      </c>
      <c r="J16" s="1">
        <v>9.6501000000000001</v>
      </c>
      <c r="K16" s="1">
        <v>35.781500000000001</v>
      </c>
      <c r="L16">
        <f t="shared" si="1"/>
        <v>0.26969523357042047</v>
      </c>
      <c r="M16">
        <f t="shared" si="2"/>
        <v>0.64608713050142452</v>
      </c>
      <c r="N16">
        <f t="shared" si="3"/>
        <v>0.97959450626256062</v>
      </c>
      <c r="O16">
        <f t="shared" si="4"/>
        <v>0.98302609188397405</v>
      </c>
      <c r="P16">
        <f t="shared" si="5"/>
        <v>0.99650916120157418</v>
      </c>
      <c r="Q16">
        <f t="shared" si="6"/>
        <v>0.27435206023224501</v>
      </c>
      <c r="R16">
        <f t="shared" si="7"/>
        <v>0.64978459152714818</v>
      </c>
      <c r="S16">
        <f t="shared" si="8"/>
        <v>93.48121387283237</v>
      </c>
      <c r="T16">
        <f t="shared" si="9"/>
        <v>0.22032181538766837</v>
      </c>
      <c r="U16">
        <f t="shared" si="10"/>
        <v>220.32181538766838</v>
      </c>
    </row>
    <row r="17" spans="5:21">
      <c r="E17" s="1">
        <v>8.2550000000000008</v>
      </c>
      <c r="F17" s="1">
        <v>9.5350000000000001</v>
      </c>
      <c r="G17" s="1">
        <f t="shared" si="0"/>
        <v>8.4812138728323703</v>
      </c>
      <c r="I17" s="1">
        <v>90</v>
      </c>
      <c r="J17" s="1">
        <v>10.9693</v>
      </c>
      <c r="K17" s="1">
        <v>35.221600000000002</v>
      </c>
      <c r="L17">
        <f t="shared" si="1"/>
        <v>0.31143673200536032</v>
      </c>
      <c r="M17">
        <f t="shared" si="2"/>
        <v>0.67783388870460159</v>
      </c>
      <c r="N17">
        <f t="shared" si="3"/>
        <v>0.97877468888925923</v>
      </c>
      <c r="O17">
        <f t="shared" si="4"/>
        <v>0.98255555271313388</v>
      </c>
      <c r="P17">
        <f t="shared" si="5"/>
        <v>0.9961520101194945</v>
      </c>
      <c r="Q17">
        <f t="shared" si="6"/>
        <v>0.31696602919335098</v>
      </c>
      <c r="R17">
        <f t="shared" si="7"/>
        <v>0.68182183694005538</v>
      </c>
      <c r="S17">
        <f t="shared" si="8"/>
        <v>98.48121387283237</v>
      </c>
      <c r="T17">
        <f t="shared" si="9"/>
        <v>0.23392164525029643</v>
      </c>
      <c r="U17">
        <f t="shared" si="10"/>
        <v>233.92164525029642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CF19-5951-48D7-9028-467BC66B3672}">
  <dimension ref="A1:V17"/>
  <sheetViews>
    <sheetView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78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77</v>
      </c>
      <c r="B2" s="2">
        <v>3.8633000000000002</v>
      </c>
      <c r="C2" s="2">
        <v>25.05</v>
      </c>
      <c r="D2" s="2">
        <v>45</v>
      </c>
      <c r="E2" s="2">
        <v>8.2516700000000007</v>
      </c>
      <c r="F2" s="2">
        <v>9.5325000000000006</v>
      </c>
      <c r="G2" s="2">
        <f>0.0418/0.007</f>
        <v>5.9714285714285706</v>
      </c>
      <c r="H2" s="2" t="s">
        <v>9</v>
      </c>
      <c r="I2" s="2">
        <v>45</v>
      </c>
      <c r="J2" s="2">
        <v>3.0238</v>
      </c>
      <c r="K2" s="2">
        <v>64.749499999999998</v>
      </c>
      <c r="L2" s="3">
        <f>J2:J25/K2:K25</f>
        <v>4.6699974517177743E-2</v>
      </c>
      <c r="M2" s="3">
        <f>(L2:L25)^(1/3)</f>
        <v>0.36011306766638707</v>
      </c>
      <c r="N2" s="3">
        <f>1-((3/10)*(J2:J25/I2:I25)^2)-((3/2)*((J2:J25*E2)/(I2:I25)^2))</f>
        <v>0.98016290886370372</v>
      </c>
      <c r="O2" s="3">
        <f>1-(F2/I2:I25)^3-((9/8)*(1-(F2/I2:I25)^2)*((J2:J25*E2)/I2:I25^2))-((9/35)*(J2:J25/I2:I25)^2)</f>
        <v>0.97609340472456685</v>
      </c>
      <c r="P2" s="3">
        <f>N2:N25/O2:O25</f>
        <v>1.004169174916498</v>
      </c>
      <c r="Q2" s="3">
        <f>L2:L25/O2:O25</f>
        <v>4.7843755824121668E-2</v>
      </c>
      <c r="R2" s="3">
        <f>Q2:Q25^(1/3)</f>
        <v>0.36302936422855525</v>
      </c>
      <c r="S2" s="3">
        <f>I2:I25+G2</f>
        <v>50.971428571428568</v>
      </c>
      <c r="T2" s="3">
        <f>(P2:P25*3*K2:K25*J2:J25)/(2*25.05*S2:S25)</f>
        <v>0.23096867909664665</v>
      </c>
      <c r="U2" s="3">
        <f>T2:T25*1000</f>
        <v>230.96867909664664</v>
      </c>
      <c r="V2">
        <f>AVERAGE(U3:U17)</f>
        <v>235.13367614924769</v>
      </c>
    </row>
    <row r="3" spans="1:22">
      <c r="E3" s="1">
        <v>8.2516700000000007</v>
      </c>
      <c r="F3" s="1">
        <v>9.5325000000000006</v>
      </c>
      <c r="G3" s="1">
        <f t="shared" ref="G3:G17" si="0">0.0418/0.007</f>
        <v>5.9714285714285706</v>
      </c>
      <c r="I3" s="1">
        <v>46</v>
      </c>
      <c r="J3" s="1">
        <v>3.1252</v>
      </c>
      <c r="K3" s="1">
        <v>64.303799999999995</v>
      </c>
      <c r="L3">
        <f t="shared" ref="L3:L17" si="1">J3:J26/K3:K26</f>
        <v>4.8600549267694915E-2</v>
      </c>
      <c r="M3">
        <f t="shared" ref="M3:M17" si="2">(L3:L26)^(1/3)</f>
        <v>0.36493349452637303</v>
      </c>
      <c r="N3">
        <f t="shared" ref="N3:N17" si="3">1-((3/10)*(J3:J26/I3:I26)^2)-((3/2)*((J3:J26*E3)/(I3:I26)^2))</f>
        <v>0.98033447961342157</v>
      </c>
      <c r="O3">
        <f t="shared" ref="O3:O17" si="4">1-(F3/I3:I26)^3-((9/8)*(1-(F3/I3:I26)^2)*((J3:J26*E3)/I3:I26^2))-((9/35)*(J3:J26/I3:I26)^2)</f>
        <v>0.97679216144277148</v>
      </c>
      <c r="P3">
        <f t="shared" ref="P3:P17" si="5">N3:N26/O3:O26</f>
        <v>1.0036264809551889</v>
      </c>
      <c r="Q3">
        <f t="shared" ref="Q3:Q17" si="6">L3:L26/O3:O26</f>
        <v>4.9755261340252203E-2</v>
      </c>
      <c r="R3">
        <f t="shared" ref="R3:R17" si="7">Q3:Q26^(1/3)</f>
        <v>0.36780108317865695</v>
      </c>
      <c r="S3">
        <f t="shared" ref="S3:S17" si="8">I3:I26+G3</f>
        <v>51.971428571428568</v>
      </c>
      <c r="T3">
        <f t="shared" ref="T3:T17" si="9">(P3:P26*3*K3:K26*J3:J26)/(2*25.05*S3:S26)</f>
        <v>0.23238358089179595</v>
      </c>
      <c r="U3">
        <f t="shared" ref="U3:U17" si="10">T3:T26*1000</f>
        <v>232.38358089179596</v>
      </c>
    </row>
    <row r="4" spans="1:22">
      <c r="E4" s="1">
        <v>8.2516700000000007</v>
      </c>
      <c r="F4" s="1">
        <v>9.5325000000000006</v>
      </c>
      <c r="G4" s="1">
        <f t="shared" si="0"/>
        <v>5.9714285714285706</v>
      </c>
      <c r="I4" s="1">
        <v>47</v>
      </c>
      <c r="J4" s="1">
        <v>3.2833000000000001</v>
      </c>
      <c r="K4" s="1">
        <v>63.5792</v>
      </c>
      <c r="L4">
        <f t="shared" si="1"/>
        <v>5.1641102750585095E-2</v>
      </c>
      <c r="M4">
        <f t="shared" si="2"/>
        <v>0.37239042225428354</v>
      </c>
      <c r="N4">
        <f t="shared" si="3"/>
        <v>0.98013894077252151</v>
      </c>
      <c r="O4">
        <f t="shared" si="4"/>
        <v>0.97717183764655291</v>
      </c>
      <c r="P4">
        <f t="shared" si="5"/>
        <v>1.0030364189916838</v>
      </c>
      <c r="Q4">
        <f t="shared" si="6"/>
        <v>5.2847514389034095E-2</v>
      </c>
      <c r="R4">
        <f t="shared" si="7"/>
        <v>0.37526799069250277</v>
      </c>
      <c r="S4">
        <f t="shared" si="8"/>
        <v>52.971428571428568</v>
      </c>
      <c r="T4">
        <f t="shared" si="9"/>
        <v>0.23669232247494701</v>
      </c>
      <c r="U4">
        <f t="shared" si="10"/>
        <v>236.69232247494702</v>
      </c>
    </row>
    <row r="5" spans="1:22">
      <c r="E5" s="1">
        <v>8.2516700000000007</v>
      </c>
      <c r="F5" s="1">
        <v>9.5325000000000006</v>
      </c>
      <c r="G5" s="1">
        <f t="shared" si="0"/>
        <v>5.9714285714285706</v>
      </c>
      <c r="I5" s="1">
        <v>48</v>
      </c>
      <c r="J5" s="1">
        <v>3.3656000000000001</v>
      </c>
      <c r="K5" s="1">
        <v>62.755800000000001</v>
      </c>
      <c r="L5">
        <f t="shared" si="1"/>
        <v>5.3630102715605574E-2</v>
      </c>
      <c r="M5">
        <f t="shared" si="2"/>
        <v>0.3771112972591556</v>
      </c>
      <c r="N5">
        <f t="shared" si="3"/>
        <v>0.98044448357812508</v>
      </c>
      <c r="O5">
        <f t="shared" si="4"/>
        <v>0.97787772093173442</v>
      </c>
      <c r="P5">
        <f t="shared" si="5"/>
        <v>1.0026248298651748</v>
      </c>
      <c r="Q5">
        <f t="shared" si="6"/>
        <v>5.4843362894602121E-2</v>
      </c>
      <c r="R5">
        <f t="shared" si="7"/>
        <v>0.379933882528528</v>
      </c>
      <c r="S5">
        <f t="shared" si="8"/>
        <v>53.971428571428568</v>
      </c>
      <c r="T5">
        <f t="shared" si="9"/>
        <v>0.23494945405380166</v>
      </c>
      <c r="U5">
        <f t="shared" si="10"/>
        <v>234.94945405380167</v>
      </c>
    </row>
    <row r="6" spans="1:22">
      <c r="E6" s="1">
        <v>8.2516700000000007</v>
      </c>
      <c r="F6" s="1">
        <v>9.5325000000000006</v>
      </c>
      <c r="G6" s="1">
        <f t="shared" si="0"/>
        <v>5.9714285714285706</v>
      </c>
      <c r="I6" s="1">
        <v>49</v>
      </c>
      <c r="J6" s="1">
        <v>3.4891000000000001</v>
      </c>
      <c r="K6" s="1">
        <v>62.228900000000003</v>
      </c>
      <c r="L6">
        <f t="shared" si="1"/>
        <v>5.606880404442309E-2</v>
      </c>
      <c r="M6">
        <f t="shared" si="2"/>
        <v>0.38274285981068351</v>
      </c>
      <c r="N6">
        <f t="shared" si="3"/>
        <v>0.98049208732257398</v>
      </c>
      <c r="O6">
        <f t="shared" si="4"/>
        <v>0.97835402291934082</v>
      </c>
      <c r="P6">
        <f t="shared" si="5"/>
        <v>1.0021853688472127</v>
      </c>
      <c r="Q6">
        <f t="shared" si="6"/>
        <v>5.7309320277661509E-2</v>
      </c>
      <c r="R6">
        <f t="shared" si="7"/>
        <v>0.3855450093666325</v>
      </c>
      <c r="S6">
        <f t="shared" si="8"/>
        <v>54.971428571428568</v>
      </c>
      <c r="T6">
        <f t="shared" si="9"/>
        <v>0.23702824697691796</v>
      </c>
      <c r="U6">
        <f t="shared" si="10"/>
        <v>237.02824697691796</v>
      </c>
    </row>
    <row r="7" spans="1:22">
      <c r="E7" s="1">
        <v>8.2516700000000007</v>
      </c>
      <c r="F7" s="1">
        <v>9.5325000000000006</v>
      </c>
      <c r="G7" s="1">
        <f t="shared" si="0"/>
        <v>5.9714285714285706</v>
      </c>
      <c r="I7" s="1">
        <v>50</v>
      </c>
      <c r="J7" s="1">
        <v>3.6291000000000002</v>
      </c>
      <c r="K7" s="1">
        <v>61.668900000000001</v>
      </c>
      <c r="L7">
        <f t="shared" si="1"/>
        <v>5.8848139013343841E-2</v>
      </c>
      <c r="M7">
        <f t="shared" si="2"/>
        <v>0.38896534654141263</v>
      </c>
      <c r="N7">
        <f t="shared" si="3"/>
        <v>0.98045187462459993</v>
      </c>
      <c r="O7">
        <f t="shared" si="4"/>
        <v>0.97872974576052174</v>
      </c>
      <c r="P7">
        <f t="shared" si="5"/>
        <v>1.0017595550472822</v>
      </c>
      <c r="Q7">
        <f t="shared" si="6"/>
        <v>6.0127056798111214E-2</v>
      </c>
      <c r="R7">
        <f t="shared" si="7"/>
        <v>0.39176290847925554</v>
      </c>
      <c r="S7">
        <f t="shared" si="8"/>
        <v>55.971428571428568</v>
      </c>
      <c r="T7">
        <f t="shared" si="9"/>
        <v>0.23985333864467626</v>
      </c>
      <c r="U7">
        <f t="shared" si="10"/>
        <v>239.85333864467626</v>
      </c>
    </row>
    <row r="8" spans="1:22">
      <c r="E8" s="1">
        <v>8.2516700000000007</v>
      </c>
      <c r="F8" s="1">
        <v>9.5325000000000006</v>
      </c>
      <c r="G8" s="1">
        <f t="shared" si="0"/>
        <v>5.9714285714285706</v>
      </c>
      <c r="I8" s="1">
        <v>51</v>
      </c>
      <c r="J8" s="1">
        <v>3.7806000000000002</v>
      </c>
      <c r="K8" s="1">
        <v>61.142000000000003</v>
      </c>
      <c r="L8">
        <f t="shared" si="1"/>
        <v>6.1833109809950604E-2</v>
      </c>
      <c r="M8">
        <f t="shared" si="2"/>
        <v>0.39543371643023689</v>
      </c>
      <c r="N8">
        <f t="shared" si="3"/>
        <v>0.98036052429411769</v>
      </c>
      <c r="O8">
        <f t="shared" si="4"/>
        <v>0.97903521021599471</v>
      </c>
      <c r="P8">
        <f t="shared" si="5"/>
        <v>1.0013536939880137</v>
      </c>
      <c r="Q8">
        <f t="shared" si="6"/>
        <v>6.3157186957871495E-2</v>
      </c>
      <c r="R8">
        <f t="shared" si="7"/>
        <v>0.39823637499082465</v>
      </c>
      <c r="S8">
        <f t="shared" si="8"/>
        <v>56.971428571428568</v>
      </c>
      <c r="T8">
        <f t="shared" si="9"/>
        <v>0.24328441816520388</v>
      </c>
      <c r="U8">
        <f t="shared" si="10"/>
        <v>243.28441816520387</v>
      </c>
    </row>
    <row r="9" spans="1:22">
      <c r="E9" s="1">
        <v>8.2516700000000007</v>
      </c>
      <c r="F9" s="1">
        <v>9.5325000000000006</v>
      </c>
      <c r="G9" s="1">
        <f t="shared" si="0"/>
        <v>5.9714285714285706</v>
      </c>
      <c r="I9" s="1">
        <v>52</v>
      </c>
      <c r="J9" s="1">
        <v>3.9485999999999999</v>
      </c>
      <c r="K9" s="1">
        <v>60.351500000000001</v>
      </c>
      <c r="L9">
        <f t="shared" si="1"/>
        <v>6.5426708532513686E-2</v>
      </c>
      <c r="M9">
        <f t="shared" si="2"/>
        <v>0.40295049241806224</v>
      </c>
      <c r="N9">
        <f t="shared" si="3"/>
        <v>0.98019554407137577</v>
      </c>
      <c r="O9">
        <f t="shared" si="4"/>
        <v>0.97925645076577905</v>
      </c>
      <c r="P9">
        <f t="shared" si="5"/>
        <v>1.0009589860805741</v>
      </c>
      <c r="Q9">
        <f t="shared" si="6"/>
        <v>6.6812639816005256E-2</v>
      </c>
      <c r="R9">
        <f t="shared" si="7"/>
        <v>0.4057758633597735</v>
      </c>
      <c r="S9">
        <f t="shared" si="8"/>
        <v>57.971428571428568</v>
      </c>
      <c r="T9">
        <f t="shared" si="9"/>
        <v>0.24638656271225617</v>
      </c>
      <c r="U9">
        <f t="shared" si="10"/>
        <v>246.38656271225616</v>
      </c>
    </row>
    <row r="10" spans="1:22">
      <c r="E10" s="1">
        <v>8.2516700000000007</v>
      </c>
      <c r="F10" s="1">
        <v>9.5325000000000006</v>
      </c>
      <c r="G10" s="1">
        <f t="shared" si="0"/>
        <v>5.9714285714285706</v>
      </c>
      <c r="I10" s="1">
        <v>55</v>
      </c>
      <c r="J10" s="1">
        <v>4.3224</v>
      </c>
      <c r="K10" s="1">
        <v>58.6389</v>
      </c>
      <c r="L10">
        <f t="shared" si="1"/>
        <v>7.3712160357714759E-2</v>
      </c>
      <c r="M10">
        <f t="shared" si="2"/>
        <v>0.41928859227240317</v>
      </c>
      <c r="N10">
        <f t="shared" si="3"/>
        <v>0.98046100160661154</v>
      </c>
      <c r="O10">
        <f t="shared" si="4"/>
        <v>0.98033934854759763</v>
      </c>
      <c r="P10">
        <f t="shared" si="5"/>
        <v>1.0001240928043889</v>
      </c>
      <c r="Q10">
        <f t="shared" si="6"/>
        <v>7.5190453659665452E-2</v>
      </c>
      <c r="R10">
        <f t="shared" si="7"/>
        <v>0.42207299722467195</v>
      </c>
      <c r="S10">
        <f t="shared" si="8"/>
        <v>60.971428571428568</v>
      </c>
      <c r="T10">
        <f t="shared" si="9"/>
        <v>0.2489555525501197</v>
      </c>
      <c r="U10">
        <f t="shared" si="10"/>
        <v>248.95555255011971</v>
      </c>
    </row>
    <row r="11" spans="1:22">
      <c r="E11" s="1">
        <v>8.2516700000000007</v>
      </c>
      <c r="F11" s="1">
        <v>9.5325000000000006</v>
      </c>
      <c r="G11" s="1">
        <f t="shared" si="0"/>
        <v>5.9714285714285706</v>
      </c>
      <c r="I11" s="1">
        <v>60</v>
      </c>
      <c r="J11" s="1">
        <v>4.9729999999999999</v>
      </c>
      <c r="K11" s="1">
        <v>53.830300000000001</v>
      </c>
      <c r="L11">
        <f t="shared" si="1"/>
        <v>9.2382914455241744E-2</v>
      </c>
      <c r="M11">
        <f t="shared" si="2"/>
        <v>0.45206118558388231</v>
      </c>
      <c r="N11">
        <f t="shared" si="3"/>
        <v>0.98084095803750004</v>
      </c>
      <c r="O11">
        <f t="shared" si="4"/>
        <v>0.98172338654083124</v>
      </c>
      <c r="P11">
        <f t="shared" si="5"/>
        <v>0.99910114344281797</v>
      </c>
      <c r="Q11">
        <f t="shared" si="6"/>
        <v>9.4102794862368708E-2</v>
      </c>
      <c r="R11">
        <f t="shared" si="7"/>
        <v>0.45484927562040517</v>
      </c>
      <c r="S11">
        <f t="shared" si="8"/>
        <v>65.971428571428575</v>
      </c>
      <c r="T11">
        <f t="shared" si="9"/>
        <v>0.24276292171821456</v>
      </c>
      <c r="U11">
        <f t="shared" si="10"/>
        <v>242.76292171821456</v>
      </c>
    </row>
    <row r="12" spans="1:22">
      <c r="E12" s="1">
        <v>8.2516700000000007</v>
      </c>
      <c r="F12" s="1">
        <v>9.5325000000000006</v>
      </c>
      <c r="G12" s="1">
        <f t="shared" si="0"/>
        <v>5.9714285714285706</v>
      </c>
      <c r="I12" s="1">
        <v>65</v>
      </c>
      <c r="J12" s="1">
        <v>5.7058</v>
      </c>
      <c r="K12" s="1">
        <v>47.5396</v>
      </c>
      <c r="L12">
        <f t="shared" si="1"/>
        <v>0.12002204477951013</v>
      </c>
      <c r="M12">
        <f t="shared" si="2"/>
        <v>0.49327261696195346</v>
      </c>
      <c r="N12">
        <f t="shared" si="3"/>
        <v>0.980972683048284</v>
      </c>
      <c r="O12">
        <f t="shared" si="4"/>
        <v>0.98259732845524195</v>
      </c>
      <c r="P12">
        <f t="shared" si="5"/>
        <v>0.99834658067968485</v>
      </c>
      <c r="Q12">
        <f t="shared" si="6"/>
        <v>0.12214774181016637</v>
      </c>
      <c r="R12">
        <f t="shared" si="7"/>
        <v>0.49616769093950142</v>
      </c>
      <c r="S12">
        <f t="shared" si="8"/>
        <v>70.971428571428575</v>
      </c>
      <c r="T12">
        <f t="shared" si="9"/>
        <v>0.22848273272863076</v>
      </c>
      <c r="U12">
        <f t="shared" si="10"/>
        <v>228.48273272863076</v>
      </c>
    </row>
    <row r="13" spans="1:22">
      <c r="E13" s="1">
        <v>8.2516700000000007</v>
      </c>
      <c r="F13" s="1">
        <v>9.5325000000000006</v>
      </c>
      <c r="G13" s="1">
        <f t="shared" si="0"/>
        <v>5.9714285714285706</v>
      </c>
      <c r="I13" s="1">
        <v>70</v>
      </c>
      <c r="J13" s="1">
        <v>6.6231999999999998</v>
      </c>
      <c r="K13" s="1">
        <v>44.805999999999997</v>
      </c>
      <c r="L13">
        <f t="shared" si="1"/>
        <v>0.14781948846136678</v>
      </c>
      <c r="M13">
        <f t="shared" si="2"/>
        <v>0.52874210823296464</v>
      </c>
      <c r="N13">
        <f t="shared" si="3"/>
        <v>0.98058393375755104</v>
      </c>
      <c r="O13">
        <f t="shared" si="4"/>
        <v>0.9828575101071767</v>
      </c>
      <c r="P13">
        <f t="shared" si="5"/>
        <v>0.99768676911327892</v>
      </c>
      <c r="Q13">
        <f t="shared" si="6"/>
        <v>0.15039767915620611</v>
      </c>
      <c r="R13">
        <f t="shared" si="7"/>
        <v>0.53179842264665844</v>
      </c>
      <c r="S13">
        <f t="shared" si="8"/>
        <v>75.971428571428575</v>
      </c>
      <c r="T13">
        <f t="shared" si="9"/>
        <v>0.23336272789517296</v>
      </c>
      <c r="U13">
        <f t="shared" si="10"/>
        <v>233.36272789517295</v>
      </c>
    </row>
    <row r="14" spans="1:22">
      <c r="E14" s="1">
        <v>8.2516700000000007</v>
      </c>
      <c r="F14" s="1">
        <v>9.5325000000000006</v>
      </c>
      <c r="G14" s="1">
        <f t="shared" si="0"/>
        <v>5.9714285714285706</v>
      </c>
      <c r="I14" s="1">
        <v>75</v>
      </c>
      <c r="J14" s="1">
        <v>7.4450000000000003</v>
      </c>
      <c r="K14" s="1">
        <v>42.368699999999997</v>
      </c>
      <c r="L14">
        <f t="shared" si="1"/>
        <v>0.17571933998446967</v>
      </c>
      <c r="M14">
        <f t="shared" si="2"/>
        <v>0.56010982113222896</v>
      </c>
      <c r="N14">
        <f t="shared" si="3"/>
        <v>0.98066152315999999</v>
      </c>
      <c r="O14">
        <f t="shared" si="4"/>
        <v>0.98332467026865455</v>
      </c>
      <c r="P14">
        <f t="shared" si="5"/>
        <v>0.99729169094483616</v>
      </c>
      <c r="Q14">
        <f t="shared" si="6"/>
        <v>0.17869920820400176</v>
      </c>
      <c r="R14">
        <f t="shared" si="7"/>
        <v>0.56325822563453132</v>
      </c>
      <c r="S14">
        <f t="shared" si="8"/>
        <v>80.971428571428575</v>
      </c>
      <c r="T14">
        <f t="shared" si="9"/>
        <v>0.23263966767656621</v>
      </c>
      <c r="U14">
        <f t="shared" si="10"/>
        <v>232.63966767656621</v>
      </c>
    </row>
    <row r="15" spans="1:22">
      <c r="E15" s="1">
        <v>8.2516700000000007</v>
      </c>
      <c r="F15" s="1">
        <v>9.5325000000000006</v>
      </c>
      <c r="G15" s="1">
        <f t="shared" si="0"/>
        <v>5.9714285714285706</v>
      </c>
      <c r="I15" s="1">
        <v>80</v>
      </c>
      <c r="J15" s="1">
        <v>8.2667999999999999</v>
      </c>
      <c r="K15" s="1">
        <v>38.943300000000001</v>
      </c>
      <c r="L15">
        <f t="shared" si="1"/>
        <v>0.21227785010515288</v>
      </c>
      <c r="M15">
        <f t="shared" si="2"/>
        <v>0.59653357666170548</v>
      </c>
      <c r="N15">
        <f t="shared" si="3"/>
        <v>0.98080869484281252</v>
      </c>
      <c r="O15">
        <f t="shared" si="4"/>
        <v>0.9837417394451452</v>
      </c>
      <c r="P15">
        <f t="shared" si="5"/>
        <v>0.99701848108631952</v>
      </c>
      <c r="Q15">
        <f t="shared" si="6"/>
        <v>0.21578615768085926</v>
      </c>
      <c r="R15">
        <f t="shared" si="7"/>
        <v>0.59980193247526836</v>
      </c>
      <c r="S15">
        <f t="shared" si="8"/>
        <v>85.971428571428575</v>
      </c>
      <c r="T15">
        <f t="shared" si="9"/>
        <v>0.22356446521801024</v>
      </c>
      <c r="U15">
        <f t="shared" si="10"/>
        <v>223.56446521801024</v>
      </c>
    </row>
    <row r="16" spans="1:22">
      <c r="E16" s="1">
        <v>8.2516700000000007</v>
      </c>
      <c r="F16" s="1">
        <v>9.5325000000000006</v>
      </c>
      <c r="G16" s="1">
        <f t="shared" si="0"/>
        <v>5.9714285714285706</v>
      </c>
      <c r="I16" s="1">
        <v>85</v>
      </c>
      <c r="J16" s="1">
        <v>9.4788999999999994</v>
      </c>
      <c r="K16" s="1">
        <v>36.3414</v>
      </c>
      <c r="L16">
        <f t="shared" si="1"/>
        <v>0.26082924708459221</v>
      </c>
      <c r="M16">
        <f t="shared" si="2"/>
        <v>0.63892825760305993</v>
      </c>
      <c r="N16">
        <f t="shared" si="3"/>
        <v>0.98003045042110726</v>
      </c>
      <c r="O16">
        <f t="shared" si="4"/>
        <v>0.98336581815466706</v>
      </c>
      <c r="P16">
        <f t="shared" si="5"/>
        <v>0.99660821265902977</v>
      </c>
      <c r="Q16">
        <f t="shared" si="6"/>
        <v>0.26524131942480039</v>
      </c>
      <c r="R16">
        <f t="shared" si="7"/>
        <v>0.64251074239013883</v>
      </c>
      <c r="S16">
        <f t="shared" si="8"/>
        <v>90.971428571428575</v>
      </c>
      <c r="T16">
        <f t="shared" si="9"/>
        <v>0.22597613235341341</v>
      </c>
      <c r="U16">
        <f t="shared" si="10"/>
        <v>225.97613235341342</v>
      </c>
    </row>
    <row r="17" spans="5:21">
      <c r="E17" s="1">
        <v>8.2516700000000007</v>
      </c>
      <c r="F17" s="1">
        <v>9.5325000000000006</v>
      </c>
      <c r="G17" s="1">
        <f t="shared" si="0"/>
        <v>5.9714285714285706</v>
      </c>
      <c r="I17" s="1">
        <v>90</v>
      </c>
      <c r="J17" s="1">
        <v>10.3484</v>
      </c>
      <c r="K17" s="1">
        <v>34.299399999999999</v>
      </c>
      <c r="L17">
        <f t="shared" si="1"/>
        <v>0.30170790159594629</v>
      </c>
      <c r="M17">
        <f t="shared" si="2"/>
        <v>0.67070090873451405</v>
      </c>
      <c r="N17">
        <f t="shared" si="3"/>
        <v>0.98022047067777773</v>
      </c>
      <c r="O17">
        <f t="shared" si="4"/>
        <v>0.98368523479741665</v>
      </c>
      <c r="P17">
        <f t="shared" si="5"/>
        <v>0.996477771550213</v>
      </c>
      <c r="Q17">
        <f t="shared" si="6"/>
        <v>0.30671183313845407</v>
      </c>
      <c r="R17">
        <f t="shared" si="7"/>
        <v>0.67438853314044289</v>
      </c>
      <c r="S17">
        <f t="shared" si="8"/>
        <v>95.971428571428575</v>
      </c>
      <c r="T17">
        <f t="shared" si="9"/>
        <v>0.22068301817898878</v>
      </c>
      <c r="U17">
        <f t="shared" si="10"/>
        <v>220.68301817898879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110A-E926-4A1C-8F5F-80041C8EECF6}">
  <dimension ref="A1:V17"/>
  <sheetViews>
    <sheetView tabSelected="1" topLeftCell="C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8.1640625" bestFit="1" customWidth="1"/>
    <col min="6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80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79</v>
      </c>
      <c r="B2" s="2">
        <v>3.9033000000000002</v>
      </c>
      <c r="C2" s="2">
        <v>25.09</v>
      </c>
      <c r="D2" s="2">
        <v>45</v>
      </c>
      <c r="E2" s="2">
        <v>8.2842000000000002</v>
      </c>
      <c r="F2" s="2">
        <v>9.5325000000000006</v>
      </c>
      <c r="G2" s="2">
        <f>0.04501/0.00703</f>
        <v>6.4025604551920345</v>
      </c>
      <c r="H2" s="2" t="s">
        <v>9</v>
      </c>
      <c r="I2" s="2">
        <v>45</v>
      </c>
      <c r="J2" s="2">
        <v>3.1745999999999999</v>
      </c>
      <c r="K2" s="2">
        <v>67.122500000000002</v>
      </c>
      <c r="L2" s="3">
        <f>J2:J25/K2:K25</f>
        <v>4.729561622406793E-2</v>
      </c>
      <c r="M2" s="3">
        <f>(L2:L25)^(1/3)</f>
        <v>0.36163764251357067</v>
      </c>
      <c r="N2" s="3">
        <f>1-((3/10)*(J2:J25/I2:I25)^2)-((3/2)*((J2:J25*E2)/(I2:I25)^2))</f>
        <v>0.97902619381333333</v>
      </c>
      <c r="O2" s="3">
        <f>1-(F2/I2:I25)^3-((9/8)*(1-(F2/I2:I25)^2)*((J2:J25*E2)/I2:I25^2))-((9/35)*(J2:J25/I2:I25)^2)</f>
        <v>0.97525962735922711</v>
      </c>
      <c r="P2" s="3">
        <f>N2:N25/O2:O25</f>
        <v>1.003862116659443</v>
      </c>
      <c r="Q2" s="3">
        <f>L2:L25/O2:O25</f>
        <v>4.8495410757577746E-2</v>
      </c>
      <c r="R2" s="3">
        <f>Q2:Q25^(1/3)</f>
        <v>0.36467014863416514</v>
      </c>
      <c r="S2" s="3">
        <f>I2:I25+G2</f>
        <v>51.402560455192031</v>
      </c>
      <c r="T2" s="3">
        <f>(P2:P25*3*K2:K25*J2:J25)/(2*25.09*S2:S25)</f>
        <v>0.24879236357454249</v>
      </c>
      <c r="U2" s="3">
        <f>T2:T25*1000</f>
        <v>248.79236357454249</v>
      </c>
      <c r="V2">
        <f>AVERAGE(U3:U17)</f>
        <v>232.5246977344917</v>
      </c>
    </row>
    <row r="3" spans="1:22">
      <c r="E3" s="1">
        <v>8.2842000000000002</v>
      </c>
      <c r="F3" s="1">
        <v>9.5325000000000006</v>
      </c>
      <c r="G3" s="1">
        <f t="shared" ref="G3:G17" si="0">0.04501/0.00703</f>
        <v>6.4025604551920345</v>
      </c>
      <c r="I3" s="1">
        <v>46</v>
      </c>
      <c r="J3" s="1">
        <v>3.3237000000000001</v>
      </c>
      <c r="K3" s="1">
        <v>65.287499999999994</v>
      </c>
      <c r="L3">
        <f t="shared" ref="L3:L17" si="1">J3:J26/K3:K26</f>
        <v>5.0908673176335448E-2</v>
      </c>
      <c r="M3">
        <f t="shared" ref="M3:M17" si="2">(L3:L26)^(1/3)</f>
        <v>0.37062148576778392</v>
      </c>
      <c r="N3">
        <f t="shared" ref="N3:N17" si="3">1-((3/10)*(J3:J26/I3:I26)^2)-((3/2)*((J3:J26*E3)/(I3:I26)^2))</f>
        <v>0.97891522314886581</v>
      </c>
      <c r="O3">
        <f t="shared" ref="O3:O17" si="4">1-(F3/I3:I26)^3-((9/8)*(1-(F3/I3:I26)^2)*((J3:J26*E3)/I3:I26^2))-((9/35)*(J3:J26/I3:I26)^2)</f>
        <v>0.97574813935935634</v>
      </c>
      <c r="P3">
        <f t="shared" ref="P3:P17" si="5">N3:N26/O3:O26</f>
        <v>1.0032458004906768</v>
      </c>
      <c r="Q3">
        <f t="shared" ref="Q3:Q17" si="6">L3:L26/O3:O26</f>
        <v>5.2173989498724933E-2</v>
      </c>
      <c r="R3">
        <f t="shared" ref="R3:R17" si="7">Q3:Q26^(1/3)</f>
        <v>0.37366694566999709</v>
      </c>
      <c r="S3">
        <f t="shared" ref="S3:S17" si="8">I3:I26+G3</f>
        <v>52.402560455192031</v>
      </c>
      <c r="T3">
        <f t="shared" ref="T3:T17" si="9">(P3:P26*3*K3:K26*J3:J26)/(2*25.09*S3:S26)</f>
        <v>0.24836894724556383</v>
      </c>
      <c r="U3">
        <f t="shared" ref="U3:U17" si="10">T3:T26*1000</f>
        <v>248.36894724556382</v>
      </c>
    </row>
    <row r="4" spans="1:22">
      <c r="E4" s="1">
        <v>8.2842000000000002</v>
      </c>
      <c r="F4" s="1">
        <v>9.5325000000000006</v>
      </c>
      <c r="G4" s="1">
        <f t="shared" si="0"/>
        <v>6.4025604551920345</v>
      </c>
      <c r="I4" s="1">
        <v>47</v>
      </c>
      <c r="J4" s="1">
        <v>3.3862999999999999</v>
      </c>
      <c r="K4" s="1">
        <v>65.030600000000007</v>
      </c>
      <c r="L4">
        <f t="shared" si="1"/>
        <v>5.2072408988999015E-2</v>
      </c>
      <c r="M4">
        <f t="shared" si="2"/>
        <v>0.3734242836361486</v>
      </c>
      <c r="N4">
        <f t="shared" si="3"/>
        <v>0.97939371299366229</v>
      </c>
      <c r="O4">
        <f t="shared" si="4"/>
        <v>0.97662303403357176</v>
      </c>
      <c r="P4">
        <f t="shared" si="5"/>
        <v>1.0028369993984754</v>
      </c>
      <c r="Q4">
        <f t="shared" si="6"/>
        <v>5.3318841737669896E-2</v>
      </c>
      <c r="R4">
        <f t="shared" si="7"/>
        <v>0.37638031567998931</v>
      </c>
      <c r="S4">
        <f t="shared" si="8"/>
        <v>53.402560455192031</v>
      </c>
      <c r="T4">
        <f t="shared" si="9"/>
        <v>0.24723050603514746</v>
      </c>
      <c r="U4">
        <f t="shared" si="10"/>
        <v>247.23050603514747</v>
      </c>
    </row>
    <row r="5" spans="1:22">
      <c r="E5" s="1">
        <v>8.2842000000000002</v>
      </c>
      <c r="F5" s="1">
        <v>9.5325000000000006</v>
      </c>
      <c r="G5" s="1">
        <f t="shared" si="0"/>
        <v>6.4025604551920345</v>
      </c>
      <c r="I5" s="1">
        <v>48</v>
      </c>
      <c r="J5" s="1">
        <v>3.4834000000000001</v>
      </c>
      <c r="K5" s="1">
        <v>63.805399999999999</v>
      </c>
      <c r="L5">
        <f t="shared" si="1"/>
        <v>5.4594125262125148E-2</v>
      </c>
      <c r="M5">
        <f t="shared" si="2"/>
        <v>0.37935746740655862</v>
      </c>
      <c r="N5">
        <f t="shared" si="3"/>
        <v>0.97963281419791659</v>
      </c>
      <c r="O5">
        <f t="shared" si="4"/>
        <v>0.97727861456178822</v>
      </c>
      <c r="P5">
        <f t="shared" si="5"/>
        <v>1.0024089339529689</v>
      </c>
      <c r="Q5">
        <f t="shared" si="6"/>
        <v>5.5863419549608336E-2</v>
      </c>
      <c r="R5">
        <f t="shared" si="7"/>
        <v>0.38227494881999952</v>
      </c>
      <c r="S5">
        <f t="shared" si="8"/>
        <v>54.402560455192031</v>
      </c>
      <c r="T5">
        <f t="shared" si="9"/>
        <v>0.24483695481889756</v>
      </c>
      <c r="U5">
        <f t="shared" si="10"/>
        <v>244.83695481889757</v>
      </c>
    </row>
    <row r="6" spans="1:22">
      <c r="E6" s="1">
        <v>8.2842000000000002</v>
      </c>
      <c r="F6" s="1">
        <v>9.5325000000000006</v>
      </c>
      <c r="G6" s="1">
        <f t="shared" si="0"/>
        <v>6.4025604551920345</v>
      </c>
      <c r="I6" s="1">
        <v>49</v>
      </c>
      <c r="J6" s="1">
        <v>3.5971000000000002</v>
      </c>
      <c r="K6" s="1">
        <v>63.133600000000001</v>
      </c>
      <c r="L6">
        <f t="shared" si="1"/>
        <v>5.6976000101372333E-2</v>
      </c>
      <c r="M6">
        <f t="shared" si="2"/>
        <v>0.38479609172223311</v>
      </c>
      <c r="N6">
        <f t="shared" si="3"/>
        <v>0.97976660464264897</v>
      </c>
      <c r="O6">
        <f t="shared" si="4"/>
        <v>0.97781754378498476</v>
      </c>
      <c r="P6">
        <f t="shared" si="5"/>
        <v>1.0019932766292161</v>
      </c>
      <c r="Q6">
        <f t="shared" si="6"/>
        <v>5.8268539425900254E-2</v>
      </c>
      <c r="R6">
        <f t="shared" si="7"/>
        <v>0.38768414845318744</v>
      </c>
      <c r="S6">
        <f t="shared" si="8"/>
        <v>55.402560455192031</v>
      </c>
      <c r="T6">
        <f t="shared" si="9"/>
        <v>0.2455492628207378</v>
      </c>
      <c r="U6">
        <f t="shared" si="10"/>
        <v>245.54926282073779</v>
      </c>
    </row>
    <row r="7" spans="1:22">
      <c r="E7" s="1">
        <v>8.2842000000000002</v>
      </c>
      <c r="F7" s="1">
        <v>9.5325000000000006</v>
      </c>
      <c r="G7" s="1">
        <f t="shared" si="0"/>
        <v>6.4025604551920345</v>
      </c>
      <c r="I7" s="1">
        <v>50</v>
      </c>
      <c r="J7" s="1">
        <v>3.7683</v>
      </c>
      <c r="K7" s="1">
        <v>62.817399999999999</v>
      </c>
      <c r="L7">
        <f t="shared" si="1"/>
        <v>5.9988156147818918E-2</v>
      </c>
      <c r="M7">
        <f t="shared" si="2"/>
        <v>0.39146100291416236</v>
      </c>
      <c r="N7">
        <f t="shared" si="3"/>
        <v>0.97956557929720001</v>
      </c>
      <c r="O7">
        <f t="shared" si="4"/>
        <v>0.97807257746172827</v>
      </c>
      <c r="P7">
        <f t="shared" si="5"/>
        <v>1.0015264734641127</v>
      </c>
      <c r="Q7">
        <f t="shared" si="6"/>
        <v>6.1333031443841127E-2</v>
      </c>
      <c r="R7">
        <f t="shared" si="7"/>
        <v>0.3943647996087809</v>
      </c>
      <c r="S7">
        <f t="shared" si="8"/>
        <v>56.402560455192031</v>
      </c>
      <c r="T7">
        <f t="shared" si="9"/>
        <v>0.2512925648152568</v>
      </c>
      <c r="U7">
        <f t="shared" si="10"/>
        <v>251.29256481525681</v>
      </c>
    </row>
    <row r="8" spans="1:22">
      <c r="E8" s="1">
        <v>8.2842000000000002</v>
      </c>
      <c r="F8" s="1">
        <v>9.5325000000000006</v>
      </c>
      <c r="G8" s="1">
        <f t="shared" si="0"/>
        <v>6.4025604551920345</v>
      </c>
      <c r="I8" s="1">
        <v>51</v>
      </c>
      <c r="J8" s="1">
        <v>3.9413</v>
      </c>
      <c r="K8" s="1">
        <v>62.224499999999999</v>
      </c>
      <c r="L8">
        <f t="shared" si="1"/>
        <v>6.3340002732042849E-2</v>
      </c>
      <c r="M8">
        <f t="shared" si="2"/>
        <v>0.3986202519018725</v>
      </c>
      <c r="N8">
        <f t="shared" si="3"/>
        <v>0.97937872745213372</v>
      </c>
      <c r="O8">
        <f t="shared" si="4"/>
        <v>0.97830550240795799</v>
      </c>
      <c r="P8">
        <f t="shared" si="5"/>
        <v>1.0010970244382089</v>
      </c>
      <c r="Q8">
        <f t="shared" si="6"/>
        <v>6.4744604396214225E-2</v>
      </c>
      <c r="R8">
        <f t="shared" si="7"/>
        <v>0.4015452817322589</v>
      </c>
      <c r="S8">
        <f t="shared" si="8"/>
        <v>57.402560455192031</v>
      </c>
      <c r="T8">
        <f t="shared" si="9"/>
        <v>0.25570334687675766</v>
      </c>
      <c r="U8">
        <f t="shared" si="10"/>
        <v>255.70334687675768</v>
      </c>
    </row>
    <row r="9" spans="1:22">
      <c r="E9" s="1">
        <v>8.2842000000000002</v>
      </c>
      <c r="F9" s="1">
        <v>9.5325000000000006</v>
      </c>
      <c r="G9" s="1">
        <f t="shared" si="0"/>
        <v>6.4025604551920345</v>
      </c>
      <c r="I9" s="1">
        <v>52</v>
      </c>
      <c r="J9" s="1">
        <v>4.0648</v>
      </c>
      <c r="K9" s="1">
        <v>59.774099999999997</v>
      </c>
      <c r="L9">
        <f t="shared" si="1"/>
        <v>6.8002696820194705E-2</v>
      </c>
      <c r="M9">
        <f t="shared" si="2"/>
        <v>0.40817090594879074</v>
      </c>
      <c r="N9">
        <f t="shared" si="3"/>
        <v>0.97948698078698215</v>
      </c>
      <c r="O9">
        <f t="shared" si="4"/>
        <v>0.97872921428570292</v>
      </c>
      <c r="P9">
        <f t="shared" si="5"/>
        <v>1.0007742350899704</v>
      </c>
      <c r="Q9">
        <f t="shared" si="6"/>
        <v>6.9480603856118164E-2</v>
      </c>
      <c r="R9">
        <f t="shared" si="7"/>
        <v>0.41110667476507551</v>
      </c>
      <c r="S9">
        <f t="shared" si="8"/>
        <v>58.402560455192031</v>
      </c>
      <c r="T9">
        <f t="shared" si="9"/>
        <v>0.24891269886487699</v>
      </c>
      <c r="U9">
        <f t="shared" si="10"/>
        <v>248.912698864877</v>
      </c>
    </row>
    <row r="10" spans="1:22">
      <c r="E10" s="1">
        <v>8.2842000000000002</v>
      </c>
      <c r="F10" s="1">
        <v>9.5325000000000006</v>
      </c>
      <c r="G10" s="1">
        <f t="shared" si="0"/>
        <v>6.4025604551920345</v>
      </c>
      <c r="I10" s="1">
        <v>55</v>
      </c>
      <c r="J10" s="1">
        <v>4.4320000000000004</v>
      </c>
      <c r="K10" s="1">
        <v>57.995600000000003</v>
      </c>
      <c r="L10">
        <f t="shared" si="1"/>
        <v>7.6419590451689445E-2</v>
      </c>
      <c r="M10">
        <f t="shared" si="2"/>
        <v>0.42436045067316208</v>
      </c>
      <c r="N10">
        <f t="shared" si="3"/>
        <v>0.97984590122314053</v>
      </c>
      <c r="O10">
        <f t="shared" si="4"/>
        <v>0.97987954210171879</v>
      </c>
      <c r="P10">
        <f t="shared" si="5"/>
        <v>0.99996566835296297</v>
      </c>
      <c r="Q10">
        <f t="shared" si="6"/>
        <v>7.7988760014092148E-2</v>
      </c>
      <c r="R10">
        <f t="shared" si="7"/>
        <v>0.42724534384057078</v>
      </c>
      <c r="S10">
        <f t="shared" si="8"/>
        <v>61.402560455192031</v>
      </c>
      <c r="T10">
        <f t="shared" si="9"/>
        <v>0.25025571472839736</v>
      </c>
      <c r="U10">
        <f t="shared" si="10"/>
        <v>250.25571472839735</v>
      </c>
    </row>
    <row r="11" spans="1:22">
      <c r="E11" s="1">
        <v>8.2842000000000002</v>
      </c>
      <c r="F11" s="1">
        <v>9.5325000000000006</v>
      </c>
      <c r="G11" s="1">
        <f t="shared" si="0"/>
        <v>6.4025604551920345</v>
      </c>
      <c r="I11" s="1">
        <v>60</v>
      </c>
      <c r="J11" s="1">
        <v>5.1170999999999998</v>
      </c>
      <c r="K11" s="1">
        <v>50.407299999999999</v>
      </c>
      <c r="L11">
        <f t="shared" si="1"/>
        <v>0.10151505833480468</v>
      </c>
      <c r="M11">
        <f t="shared" si="2"/>
        <v>0.46649123650013613</v>
      </c>
      <c r="N11">
        <f t="shared" si="3"/>
        <v>0.98015499070750001</v>
      </c>
      <c r="O11">
        <f t="shared" si="4"/>
        <v>0.98120662128744729</v>
      </c>
      <c r="P11">
        <f t="shared" si="5"/>
        <v>0.99892822718769725</v>
      </c>
      <c r="Q11">
        <f t="shared" si="6"/>
        <v>0.1034594102123018</v>
      </c>
      <c r="R11">
        <f t="shared" si="7"/>
        <v>0.46945070914774889</v>
      </c>
      <c r="S11">
        <f t="shared" si="8"/>
        <v>66.402560455192031</v>
      </c>
      <c r="T11">
        <f t="shared" si="9"/>
        <v>0.23198366054966502</v>
      </c>
      <c r="U11">
        <f t="shared" si="10"/>
        <v>231.98366054966502</v>
      </c>
    </row>
    <row r="12" spans="1:22">
      <c r="E12" s="1">
        <v>8.2842000000000002</v>
      </c>
      <c r="F12" s="1">
        <v>9.5325000000000006</v>
      </c>
      <c r="G12" s="1">
        <f t="shared" si="0"/>
        <v>6.4025604551920345</v>
      </c>
      <c r="I12" s="1">
        <v>65</v>
      </c>
      <c r="J12" s="1">
        <v>5.7889999999999997</v>
      </c>
      <c r="K12" s="1">
        <v>46.395800000000001</v>
      </c>
      <c r="L12">
        <f t="shared" si="1"/>
        <v>0.12477422525314791</v>
      </c>
      <c r="M12">
        <f t="shared" si="2"/>
        <v>0.49969878558038305</v>
      </c>
      <c r="N12">
        <f t="shared" si="3"/>
        <v>0.98059417585798814</v>
      </c>
      <c r="O12">
        <f t="shared" si="4"/>
        <v>0.98231118236149806</v>
      </c>
      <c r="P12">
        <f t="shared" si="5"/>
        <v>0.99825207476577615</v>
      </c>
      <c r="Q12">
        <f t="shared" si="6"/>
        <v>0.12702107793702183</v>
      </c>
      <c r="R12">
        <f t="shared" si="7"/>
        <v>0.50268037607497384</v>
      </c>
      <c r="S12">
        <f t="shared" si="8"/>
        <v>71.402560455192031</v>
      </c>
      <c r="T12">
        <f t="shared" si="9"/>
        <v>0.22449116350883291</v>
      </c>
      <c r="U12">
        <f t="shared" si="10"/>
        <v>224.49116350883293</v>
      </c>
    </row>
    <row r="13" spans="1:22">
      <c r="E13" s="1">
        <v>8.2842000000000002</v>
      </c>
      <c r="F13" s="1">
        <v>9.5325000000000006</v>
      </c>
      <c r="G13" s="1">
        <f t="shared" si="0"/>
        <v>6.4025604551920345</v>
      </c>
      <c r="I13" s="1">
        <v>70</v>
      </c>
      <c r="J13" s="1">
        <v>6.5960000000000001</v>
      </c>
      <c r="K13" s="1">
        <v>43.352499999999999</v>
      </c>
      <c r="L13">
        <f t="shared" si="1"/>
        <v>0.15214808834553947</v>
      </c>
      <c r="M13">
        <f t="shared" si="2"/>
        <v>0.53385358892194634</v>
      </c>
      <c r="N13">
        <f t="shared" si="3"/>
        <v>0.9806089715102041</v>
      </c>
      <c r="O13">
        <f t="shared" si="4"/>
        <v>0.98287860501058222</v>
      </c>
      <c r="P13">
        <f t="shared" si="5"/>
        <v>0.99769083029297023</v>
      </c>
      <c r="Q13">
        <f t="shared" si="6"/>
        <v>0.15479845381709306</v>
      </c>
      <c r="R13">
        <f t="shared" si="7"/>
        <v>0.53693560812436936</v>
      </c>
      <c r="S13">
        <f t="shared" si="8"/>
        <v>76.402560455192031</v>
      </c>
      <c r="T13">
        <f t="shared" si="9"/>
        <v>0.22324074290074947</v>
      </c>
      <c r="U13">
        <f t="shared" si="10"/>
        <v>223.24074290074947</v>
      </c>
    </row>
    <row r="14" spans="1:22">
      <c r="E14" s="1">
        <v>8.2842000000000002</v>
      </c>
      <c r="F14" s="1">
        <v>9.5325000000000006</v>
      </c>
      <c r="G14" s="1">
        <f t="shared" si="0"/>
        <v>6.4025604551920345</v>
      </c>
      <c r="I14" s="1">
        <v>75</v>
      </c>
      <c r="J14" s="1">
        <v>7.2481999999999998</v>
      </c>
      <c r="K14" s="1">
        <v>38.5901</v>
      </c>
      <c r="L14">
        <f t="shared" si="1"/>
        <v>0.18782537490185305</v>
      </c>
      <c r="M14">
        <f t="shared" si="2"/>
        <v>0.57268800664883734</v>
      </c>
      <c r="N14">
        <f t="shared" si="3"/>
        <v>0.98118591490986662</v>
      </c>
      <c r="O14">
        <f t="shared" si="4"/>
        <v>0.98373000270221189</v>
      </c>
      <c r="P14">
        <f t="shared" si="5"/>
        <v>0.99741383531522176</v>
      </c>
      <c r="Q14">
        <f t="shared" si="6"/>
        <v>0.19093183534701064</v>
      </c>
      <c r="R14">
        <f t="shared" si="7"/>
        <v>0.57582800467154904</v>
      </c>
      <c r="S14">
        <f t="shared" si="8"/>
        <v>81.402560455192031</v>
      </c>
      <c r="T14">
        <f t="shared" si="9"/>
        <v>0.20489624180258975</v>
      </c>
      <c r="U14">
        <f t="shared" si="10"/>
        <v>204.89624180258974</v>
      </c>
    </row>
    <row r="15" spans="1:22">
      <c r="E15" s="1">
        <v>8.2842000000000002</v>
      </c>
      <c r="F15" s="1">
        <v>9.5325000000000006</v>
      </c>
      <c r="G15" s="1">
        <f t="shared" si="0"/>
        <v>6.4025604551920345</v>
      </c>
      <c r="I15" s="1">
        <v>80</v>
      </c>
      <c r="J15" s="1">
        <v>8.0996000000000006</v>
      </c>
      <c r="K15" s="1">
        <v>38.471499999999999</v>
      </c>
      <c r="L15">
        <f t="shared" si="1"/>
        <v>0.21053507141650316</v>
      </c>
      <c r="M15">
        <f t="shared" si="2"/>
        <v>0.59489659612715162</v>
      </c>
      <c r="N15">
        <f t="shared" si="3"/>
        <v>0.98119857569874991</v>
      </c>
      <c r="O15">
        <f t="shared" si="4"/>
        <v>0.98404510769213938</v>
      </c>
      <c r="P15">
        <f t="shared" si="5"/>
        <v>0.99710731553753118</v>
      </c>
      <c r="Q15">
        <f t="shared" si="6"/>
        <v>0.21394859826117799</v>
      </c>
      <c r="R15">
        <f t="shared" si="7"/>
        <v>0.59809450885752768</v>
      </c>
      <c r="S15">
        <f t="shared" si="8"/>
        <v>86.402560455192031</v>
      </c>
      <c r="T15">
        <f t="shared" si="9"/>
        <v>0.21498520789059111</v>
      </c>
      <c r="U15">
        <f t="shared" si="10"/>
        <v>214.98520789059111</v>
      </c>
    </row>
    <row r="16" spans="1:22">
      <c r="E16" s="1">
        <v>8.2842000000000002</v>
      </c>
      <c r="F16" s="1">
        <v>9.5325000000000006</v>
      </c>
      <c r="G16" s="1">
        <f t="shared" si="0"/>
        <v>6.4025604551920345</v>
      </c>
      <c r="I16" s="1">
        <v>85</v>
      </c>
      <c r="J16" s="1">
        <v>9.0548000000000002</v>
      </c>
      <c r="K16" s="1">
        <v>35.052799999999998</v>
      </c>
      <c r="L16">
        <f t="shared" si="1"/>
        <v>0.25831887894832939</v>
      </c>
      <c r="M16">
        <f t="shared" si="2"/>
        <v>0.63687184380287754</v>
      </c>
      <c r="N16">
        <f t="shared" si="3"/>
        <v>0.98102221700318337</v>
      </c>
      <c r="O16">
        <f t="shared" si="4"/>
        <v>0.98413833511749915</v>
      </c>
      <c r="P16">
        <f t="shared" si="5"/>
        <v>0.99683365843690686</v>
      </c>
      <c r="Q16">
        <f t="shared" si="6"/>
        <v>0.26248228499044085</v>
      </c>
      <c r="R16">
        <f t="shared" si="7"/>
        <v>0.64027517869534489</v>
      </c>
      <c r="S16">
        <f t="shared" si="8"/>
        <v>91.402560455192031</v>
      </c>
      <c r="T16">
        <f t="shared" si="9"/>
        <v>0.20694574757326228</v>
      </c>
      <c r="U16">
        <f t="shared" si="10"/>
        <v>206.94574757326228</v>
      </c>
    </row>
    <row r="17" spans="5:21">
      <c r="E17" s="1">
        <v>8.2842000000000002</v>
      </c>
      <c r="F17" s="1">
        <v>9.5325000000000006</v>
      </c>
      <c r="G17" s="1">
        <f t="shared" si="0"/>
        <v>6.4025604551920345</v>
      </c>
      <c r="I17" s="1">
        <v>90</v>
      </c>
      <c r="J17" s="1">
        <v>9.8155999999999999</v>
      </c>
      <c r="K17" s="1">
        <v>31.179600000000001</v>
      </c>
      <c r="L17">
        <f t="shared" si="1"/>
        <v>0.31480840036434077</v>
      </c>
      <c r="M17">
        <f t="shared" si="2"/>
        <v>0.6802712300103243</v>
      </c>
      <c r="N17">
        <f t="shared" si="3"/>
        <v>0.98137340848296295</v>
      </c>
      <c r="O17">
        <f t="shared" si="4"/>
        <v>0.98458621792986278</v>
      </c>
      <c r="P17">
        <f t="shared" si="5"/>
        <v>0.99673689374440477</v>
      </c>
      <c r="Q17">
        <f t="shared" si="6"/>
        <v>0.31973675299481613</v>
      </c>
      <c r="R17">
        <f t="shared" si="7"/>
        <v>0.68380276636216797</v>
      </c>
      <c r="S17">
        <f t="shared" si="8"/>
        <v>96.402560455192031</v>
      </c>
      <c r="T17">
        <f t="shared" si="9"/>
        <v>0.18917770558604935</v>
      </c>
      <c r="U17">
        <f t="shared" si="10"/>
        <v>189.17770558604934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94F9-7C60-410C-A0B0-B055F0363E2E}">
  <dimension ref="A1:V18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82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81</v>
      </c>
      <c r="B2" s="2">
        <v>3.81</v>
      </c>
      <c r="C2" s="2">
        <v>25.043299999999999</v>
      </c>
      <c r="D2" s="2">
        <v>45</v>
      </c>
      <c r="E2" s="2">
        <v>8.1449999999999996</v>
      </c>
      <c r="F2" s="2">
        <v>9.4674999999999994</v>
      </c>
      <c r="G2" s="2">
        <f>0.06004/0.00691</f>
        <v>8.6888567293777133</v>
      </c>
      <c r="H2" s="2" t="s">
        <v>9</v>
      </c>
      <c r="I2" s="2">
        <v>45</v>
      </c>
      <c r="J2" s="2">
        <v>3.4176000000000002</v>
      </c>
      <c r="K2" s="2">
        <v>66.677800000000005</v>
      </c>
      <c r="L2" s="3">
        <f>J2:J25/K2:K25</f>
        <v>5.1255440341462975E-2</v>
      </c>
      <c r="M2" s="3">
        <f>(L2:L25)^(1/3)</f>
        <v>0.37146108504559666</v>
      </c>
      <c r="N2" s="3">
        <f>1-((3/10)*(J2:J25/I2:I25)^2)-((3/2)*((J2:J25*E2)/(I2:I25)^2))</f>
        <v>0.97765011114666667</v>
      </c>
      <c r="O2" s="3">
        <f>1-(F2/I2:I25)^3-((9/8)*(1-(F2/I2:I25)^2)*((J2:J25*E2)/I2:I25^2))-((9/35)*(J2:J25/I2:I25)^2)</f>
        <v>0.9744241602145397</v>
      </c>
      <c r="P2" s="3">
        <f>N2:N25/O2:O25</f>
        <v>1.0033106228928239</v>
      </c>
      <c r="Q2" s="3">
        <f>L2:L25/O2:O25</f>
        <v>5.2600748661833285E-2</v>
      </c>
      <c r="R2" s="3">
        <f>Q2:Q25^(1/3)</f>
        <v>0.37468298817216117</v>
      </c>
      <c r="S2" s="3">
        <f>I2:I25+G2</f>
        <v>53.688856729377711</v>
      </c>
      <c r="T2" s="3">
        <f>(P2:P25*3*K2:K25*J2:J25)/(2*25.0433*S2:S25)</f>
        <v>0.25506651626573124</v>
      </c>
      <c r="U2" s="3">
        <f>T2:T25*1000</f>
        <v>255.06651626573122</v>
      </c>
      <c r="V2">
        <f>AVERAGE(U3:U17)</f>
        <v>249.7867605604014</v>
      </c>
    </row>
    <row r="3" spans="1:22">
      <c r="E3" s="1">
        <v>8.1449999999999996</v>
      </c>
      <c r="F3" s="1">
        <v>9.4674999999999994</v>
      </c>
      <c r="G3" s="1">
        <f t="shared" ref="G3:G17" si="0">0.06004/0.00691</f>
        <v>8.6888567293777133</v>
      </c>
      <c r="I3" s="1">
        <v>46</v>
      </c>
      <c r="J3" s="1">
        <v>3.5213000000000001</v>
      </c>
      <c r="K3" s="1">
        <v>66.097800000000007</v>
      </c>
      <c r="L3">
        <f t="shared" ref="L3:L17" si="1">J3:J26/K3:K26</f>
        <v>5.3274087791121638E-2</v>
      </c>
      <c r="M3">
        <f t="shared" ref="M3:M17" si="2">(L3:L26)^(1/3)</f>
        <v>0.3762749794356588</v>
      </c>
      <c r="N3">
        <f t="shared" ref="N3:N17" si="3">1-((3/10)*(J3:J26/I3:I26)^2)-((3/2)*((J3:J26*E3)/(I3:I26)^2))</f>
        <v>0.97791051566304354</v>
      </c>
      <c r="O3">
        <f t="shared" ref="O3:O17" si="4">1-(F3/I3:I26)^3-((9/8)*(1-(F3/I3:I26)^2)*((J3:J26*E3)/I3:I26^2))-((9/35)*(J3:J26/I3:I26)^2)</f>
        <v>0.97517215066600471</v>
      </c>
      <c r="P3">
        <f t="shared" ref="P3:P17" si="5">N3:N26/O3:O26</f>
        <v>1.0028080836754503</v>
      </c>
      <c r="Q3">
        <f t="shared" ref="Q3:Q17" si="6">L3:L26/O3:O26</f>
        <v>5.4630444229500918E-2</v>
      </c>
      <c r="R3">
        <f t="shared" ref="R3:R17" si="7">Q3:Q26^(1/3)</f>
        <v>0.37944157179986138</v>
      </c>
      <c r="S3">
        <f t="shared" ref="S3:S17" si="8">I3:I26+G3</f>
        <v>54.688856729377711</v>
      </c>
      <c r="T3">
        <f t="shared" ref="T3:T17" si="9">(P3:P26*3*K3:K26*J3:J26)/(2*25.0433*S3:S26)</f>
        <v>0.25562817294330192</v>
      </c>
      <c r="U3">
        <f t="shared" ref="U3:U17" si="10">T3:T26*1000</f>
        <v>255.62817294330193</v>
      </c>
    </row>
    <row r="4" spans="1:22">
      <c r="E4" s="1">
        <v>8.1449999999999996</v>
      </c>
      <c r="F4" s="1">
        <v>9.4674999999999994</v>
      </c>
      <c r="G4" s="1">
        <f t="shared" si="0"/>
        <v>8.6888567293777133</v>
      </c>
      <c r="I4" s="1">
        <v>47</v>
      </c>
      <c r="J4" s="1">
        <v>3.6941999999999999</v>
      </c>
      <c r="K4" s="1">
        <v>65.445599999999999</v>
      </c>
      <c r="L4">
        <f t="shared" si="1"/>
        <v>5.6446881073746742E-2</v>
      </c>
      <c r="M4">
        <f t="shared" si="2"/>
        <v>0.38360122328653601</v>
      </c>
      <c r="N4">
        <f t="shared" si="3"/>
        <v>0.97771479285106377</v>
      </c>
      <c r="O4">
        <f t="shared" si="4"/>
        <v>0.97553572566615598</v>
      </c>
      <c r="P4">
        <f t="shared" si="5"/>
        <v>1.0022337133613635</v>
      </c>
      <c r="Q4">
        <f t="shared" si="6"/>
        <v>5.7862443771806847E-2</v>
      </c>
      <c r="R4">
        <f t="shared" si="7"/>
        <v>0.38678140849589349</v>
      </c>
      <c r="S4">
        <f t="shared" si="8"/>
        <v>55.688856729377711</v>
      </c>
      <c r="T4">
        <f t="shared" si="9"/>
        <v>0.26061611475507107</v>
      </c>
      <c r="U4">
        <f t="shared" si="10"/>
        <v>260.61611475507107</v>
      </c>
    </row>
    <row r="5" spans="1:22">
      <c r="E5" s="1">
        <v>8.1449999999999996</v>
      </c>
      <c r="F5" s="1">
        <v>9.4674999999999994</v>
      </c>
      <c r="G5" s="1">
        <f t="shared" si="0"/>
        <v>8.6888567293777133</v>
      </c>
      <c r="I5" s="1">
        <v>48</v>
      </c>
      <c r="J5" s="1">
        <v>3.8161</v>
      </c>
      <c r="K5" s="1">
        <v>62.698799999999999</v>
      </c>
      <c r="L5">
        <f t="shared" si="1"/>
        <v>6.0864003776786801E-2</v>
      </c>
      <c r="M5">
        <f t="shared" si="2"/>
        <v>0.39335696033926298</v>
      </c>
      <c r="N5">
        <f t="shared" si="3"/>
        <v>0.97786806097526047</v>
      </c>
      <c r="O5">
        <f t="shared" si="4"/>
        <v>0.97611501412785617</v>
      </c>
      <c r="P5">
        <f t="shared" si="5"/>
        <v>1.0017959429186432</v>
      </c>
      <c r="Q5">
        <f t="shared" si="6"/>
        <v>6.2353311746943939E-2</v>
      </c>
      <c r="R5">
        <f t="shared" si="7"/>
        <v>0.39653954899900695</v>
      </c>
      <c r="S5">
        <f t="shared" si="8"/>
        <v>56.688856729377711</v>
      </c>
      <c r="T5">
        <f t="shared" si="9"/>
        <v>0.25325629479368938</v>
      </c>
      <c r="U5">
        <f t="shared" si="10"/>
        <v>253.25629479368939</v>
      </c>
    </row>
    <row r="6" spans="1:22">
      <c r="E6" s="1">
        <v>8.1449999999999996</v>
      </c>
      <c r="F6" s="1">
        <v>9.4674999999999994</v>
      </c>
      <c r="G6" s="1">
        <f t="shared" si="0"/>
        <v>8.6888567293777133</v>
      </c>
      <c r="I6" s="1">
        <v>49</v>
      </c>
      <c r="J6" s="1">
        <v>3.9379</v>
      </c>
      <c r="K6" s="1">
        <v>63.212600000000002</v>
      </c>
      <c r="L6">
        <f t="shared" si="1"/>
        <v>6.2296124506823002E-2</v>
      </c>
      <c r="M6">
        <f t="shared" si="2"/>
        <v>0.39641828338092089</v>
      </c>
      <c r="N6">
        <f t="shared" si="3"/>
        <v>0.97802440226030818</v>
      </c>
      <c r="O6">
        <f t="shared" si="4"/>
        <v>0.97665871602312371</v>
      </c>
      <c r="P6">
        <f t="shared" si="5"/>
        <v>1.0013983249366221</v>
      </c>
      <c r="Q6">
        <f t="shared" si="6"/>
        <v>6.3784947069829928E-2</v>
      </c>
      <c r="R6">
        <f t="shared" si="7"/>
        <v>0.39955147030291172</v>
      </c>
      <c r="S6">
        <f t="shared" si="8"/>
        <v>57.688856729377711</v>
      </c>
      <c r="T6">
        <f t="shared" si="9"/>
        <v>0.25881114159111562</v>
      </c>
      <c r="U6">
        <f t="shared" si="10"/>
        <v>258.81114159111564</v>
      </c>
    </row>
    <row r="7" spans="1:22">
      <c r="E7" s="1">
        <v>8.1449999999999996</v>
      </c>
      <c r="F7" s="1">
        <v>9.4674999999999994</v>
      </c>
      <c r="G7" s="1">
        <f t="shared" si="0"/>
        <v>8.6888567293777133</v>
      </c>
      <c r="I7" s="1">
        <v>50</v>
      </c>
      <c r="J7" s="1">
        <v>4.0564999999999998</v>
      </c>
      <c r="K7" s="1">
        <v>63.232399999999998</v>
      </c>
      <c r="L7">
        <f t="shared" si="1"/>
        <v>6.415223840942301E-2</v>
      </c>
      <c r="M7">
        <f t="shared" si="2"/>
        <v>0.40031691220329368</v>
      </c>
      <c r="N7">
        <f t="shared" si="3"/>
        <v>0.97820126143000008</v>
      </c>
      <c r="O7">
        <f t="shared" si="4"/>
        <v>0.9771836055561578</v>
      </c>
      <c r="P7">
        <f t="shared" si="5"/>
        <v>1.0010414172608464</v>
      </c>
      <c r="Q7">
        <f t="shared" si="6"/>
        <v>6.5650137849898912E-2</v>
      </c>
      <c r="R7">
        <f t="shared" si="7"/>
        <v>0.40340865731514092</v>
      </c>
      <c r="S7">
        <f t="shared" si="8"/>
        <v>58.688856729377711</v>
      </c>
      <c r="T7">
        <f t="shared" si="9"/>
        <v>0.26205185973009582</v>
      </c>
      <c r="U7">
        <f t="shared" si="10"/>
        <v>262.05185973009583</v>
      </c>
    </row>
    <row r="8" spans="1:22">
      <c r="E8" s="1">
        <v>8.1449999999999996</v>
      </c>
      <c r="F8" s="1">
        <v>9.4674999999999994</v>
      </c>
      <c r="G8" s="1">
        <f t="shared" si="0"/>
        <v>8.6888567293777133</v>
      </c>
      <c r="I8" s="1">
        <v>51</v>
      </c>
      <c r="J8" s="1">
        <v>4.2031000000000001</v>
      </c>
      <c r="K8" s="1">
        <v>63.153300000000002</v>
      </c>
      <c r="L8">
        <f t="shared" si="1"/>
        <v>6.6553925131386638E-2</v>
      </c>
      <c r="M8">
        <f t="shared" si="2"/>
        <v>0.40525143180547474</v>
      </c>
      <c r="N8">
        <f t="shared" si="3"/>
        <v>0.97821945823414069</v>
      </c>
      <c r="O8">
        <f t="shared" si="4"/>
        <v>0.9775592716748539</v>
      </c>
      <c r="P8">
        <f t="shared" si="5"/>
        <v>1.000675341719337</v>
      </c>
      <c r="Q8">
        <f t="shared" si="6"/>
        <v>6.8081728709257383E-2</v>
      </c>
      <c r="R8">
        <f t="shared" si="7"/>
        <v>0.40832896844979771</v>
      </c>
      <c r="S8">
        <f t="shared" si="8"/>
        <v>59.688856729377711</v>
      </c>
      <c r="T8">
        <f t="shared" si="9"/>
        <v>0.26654185292235993</v>
      </c>
      <c r="U8">
        <f t="shared" si="10"/>
        <v>266.54185292235991</v>
      </c>
    </row>
    <row r="9" spans="1:22">
      <c r="E9" s="1">
        <v>8.1449999999999996</v>
      </c>
      <c r="F9" s="1">
        <v>9.4674999999999994</v>
      </c>
      <c r="G9" s="1">
        <f t="shared" si="0"/>
        <v>8.6888567293777133</v>
      </c>
      <c r="I9" s="1">
        <v>52</v>
      </c>
      <c r="J9" s="1">
        <v>4.3727</v>
      </c>
      <c r="K9" s="1">
        <v>61.394599999999997</v>
      </c>
      <c r="L9">
        <f t="shared" si="1"/>
        <v>7.1222876279021283E-2</v>
      </c>
      <c r="M9">
        <f t="shared" si="2"/>
        <v>0.41451460407398233</v>
      </c>
      <c r="N9">
        <f t="shared" si="3"/>
        <v>0.97812144458690831</v>
      </c>
      <c r="O9">
        <f t="shared" si="4"/>
        <v>0.97781972729186573</v>
      </c>
      <c r="P9">
        <f t="shared" si="5"/>
        <v>1.0003085612681166</v>
      </c>
      <c r="Q9">
        <f t="shared" si="6"/>
        <v>7.2838453030884945E-2</v>
      </c>
      <c r="R9">
        <f t="shared" si="7"/>
        <v>0.41762539989851583</v>
      </c>
      <c r="S9">
        <f t="shared" si="8"/>
        <v>60.688856729377711</v>
      </c>
      <c r="T9">
        <f t="shared" si="9"/>
        <v>0.26503582962325456</v>
      </c>
      <c r="U9">
        <f t="shared" si="10"/>
        <v>265.03582962325459</v>
      </c>
    </row>
    <row r="10" spans="1:22">
      <c r="E10" s="1">
        <v>8.1449999999999996</v>
      </c>
      <c r="F10" s="1">
        <v>9.4674999999999994</v>
      </c>
      <c r="G10" s="1">
        <f t="shared" si="0"/>
        <v>8.6888567293777133</v>
      </c>
      <c r="I10" s="1">
        <v>55</v>
      </c>
      <c r="J10" s="1">
        <v>4.8041999999999998</v>
      </c>
      <c r="K10" s="1">
        <v>57.798000000000002</v>
      </c>
      <c r="L10">
        <f t="shared" si="1"/>
        <v>8.312052320149485E-2</v>
      </c>
      <c r="M10">
        <f t="shared" si="2"/>
        <v>0.43641810186784569</v>
      </c>
      <c r="N10">
        <f t="shared" si="3"/>
        <v>0.97830763147371902</v>
      </c>
      <c r="O10">
        <f t="shared" si="4"/>
        <v>0.97881612360995873</v>
      </c>
      <c r="P10">
        <f t="shared" si="5"/>
        <v>0.99948050290143942</v>
      </c>
      <c r="Q10">
        <f t="shared" si="6"/>
        <v>8.4919446254051428E-2</v>
      </c>
      <c r="R10">
        <f t="shared" si="7"/>
        <v>0.43954402876715271</v>
      </c>
      <c r="S10">
        <f t="shared" si="8"/>
        <v>63.688856729377711</v>
      </c>
      <c r="T10">
        <f t="shared" si="9"/>
        <v>0.26100237919684299</v>
      </c>
      <c r="U10">
        <f t="shared" si="10"/>
        <v>261.00237919684298</v>
      </c>
    </row>
    <row r="11" spans="1:22">
      <c r="E11" s="1">
        <v>8.1449999999999996</v>
      </c>
      <c r="F11" s="1">
        <v>9.4674999999999994</v>
      </c>
      <c r="G11" s="1">
        <f t="shared" si="0"/>
        <v>8.6888567293777133</v>
      </c>
      <c r="I11" s="1">
        <v>60</v>
      </c>
      <c r="J11" s="1">
        <v>5.6721000000000004</v>
      </c>
      <c r="K11" s="1">
        <v>53.2727</v>
      </c>
      <c r="L11">
        <f t="shared" si="1"/>
        <v>0.1064729214025195</v>
      </c>
      <c r="M11">
        <f t="shared" si="2"/>
        <v>0.47396512856051282</v>
      </c>
      <c r="N11">
        <f t="shared" si="3"/>
        <v>0.97806925075749995</v>
      </c>
      <c r="O11">
        <f t="shared" si="4"/>
        <v>0.97969541369724833</v>
      </c>
      <c r="P11">
        <f t="shared" si="5"/>
        <v>0.99834013417128142</v>
      </c>
      <c r="Q11">
        <f t="shared" si="6"/>
        <v>0.10867961604587284</v>
      </c>
      <c r="R11">
        <f t="shared" si="7"/>
        <v>0.47721713798468596</v>
      </c>
      <c r="S11">
        <f t="shared" si="8"/>
        <v>68.688856729377719</v>
      </c>
      <c r="T11">
        <f t="shared" si="9"/>
        <v>0.26305134879167502</v>
      </c>
      <c r="U11">
        <f t="shared" si="10"/>
        <v>263.05134879167503</v>
      </c>
    </row>
    <row r="12" spans="1:22">
      <c r="E12" s="1">
        <v>8.1449999999999996</v>
      </c>
      <c r="F12" s="1">
        <v>9.4674999999999994</v>
      </c>
      <c r="G12" s="1">
        <f t="shared" si="0"/>
        <v>8.6888567293777133</v>
      </c>
      <c r="I12" s="1">
        <v>65</v>
      </c>
      <c r="J12" s="1">
        <v>6.4543999999999997</v>
      </c>
      <c r="K12" s="1">
        <v>50.5852</v>
      </c>
      <c r="L12">
        <f t="shared" si="1"/>
        <v>0.12759463242213137</v>
      </c>
      <c r="M12">
        <f t="shared" si="2"/>
        <v>0.50343584574384737</v>
      </c>
      <c r="N12">
        <f t="shared" si="3"/>
        <v>0.97837765306319524</v>
      </c>
      <c r="O12">
        <f t="shared" si="4"/>
        <v>0.98067322551235137</v>
      </c>
      <c r="P12">
        <f t="shared" si="5"/>
        <v>0.99765918718953828</v>
      </c>
      <c r="Q12">
        <f t="shared" si="6"/>
        <v>0.13010922405418965</v>
      </c>
      <c r="R12">
        <f t="shared" si="7"/>
        <v>0.50672153575633561</v>
      </c>
      <c r="S12">
        <f t="shared" si="8"/>
        <v>73.688856729377719</v>
      </c>
      <c r="T12">
        <f t="shared" si="9"/>
        <v>0.26476430780337629</v>
      </c>
      <c r="U12">
        <f t="shared" si="10"/>
        <v>264.76430780337631</v>
      </c>
    </row>
    <row r="13" spans="1:22">
      <c r="E13" s="1">
        <v>8.1449999999999996</v>
      </c>
      <c r="F13" s="1">
        <v>9.4674999999999994</v>
      </c>
      <c r="G13" s="1">
        <f t="shared" si="0"/>
        <v>8.6888567293777133</v>
      </c>
      <c r="I13" s="1">
        <v>70</v>
      </c>
      <c r="J13" s="1">
        <v>7.1856</v>
      </c>
      <c r="K13" s="1">
        <v>45.7239</v>
      </c>
      <c r="L13">
        <f t="shared" si="1"/>
        <v>0.15715194898072998</v>
      </c>
      <c r="M13">
        <f t="shared" si="2"/>
        <v>0.53964305283486236</v>
      </c>
      <c r="N13">
        <f t="shared" si="3"/>
        <v>0.97892246485551027</v>
      </c>
      <c r="O13">
        <f t="shared" si="4"/>
        <v>0.98162488195998843</v>
      </c>
      <c r="P13">
        <f t="shared" si="5"/>
        <v>0.99724699612434198</v>
      </c>
      <c r="Q13">
        <f t="shared" si="6"/>
        <v>0.16009368942130747</v>
      </c>
      <c r="R13">
        <f t="shared" si="7"/>
        <v>0.54298946606630139</v>
      </c>
      <c r="S13">
        <f t="shared" si="8"/>
        <v>78.688856729377719</v>
      </c>
      <c r="T13">
        <f t="shared" si="9"/>
        <v>0.24939945970687896</v>
      </c>
      <c r="U13">
        <f t="shared" si="10"/>
        <v>249.39945970687896</v>
      </c>
    </row>
    <row r="14" spans="1:22">
      <c r="E14" s="1">
        <v>8.1449999999999996</v>
      </c>
      <c r="F14" s="1">
        <v>9.4674999999999994</v>
      </c>
      <c r="G14" s="1">
        <f t="shared" si="0"/>
        <v>8.6888567293777133</v>
      </c>
      <c r="I14" s="1">
        <v>75</v>
      </c>
      <c r="J14" s="1">
        <v>7.7668999999999997</v>
      </c>
      <c r="K14" s="1">
        <v>41.2776</v>
      </c>
      <c r="L14">
        <f t="shared" si="1"/>
        <v>0.18816258697211077</v>
      </c>
      <c r="M14">
        <f t="shared" si="2"/>
        <v>0.57303052666703735</v>
      </c>
      <c r="N14">
        <f t="shared" si="3"/>
        <v>0.97991297396746668</v>
      </c>
      <c r="O14">
        <f t="shared" si="4"/>
        <v>0.9827801201497659</v>
      </c>
      <c r="P14">
        <f t="shared" si="5"/>
        <v>0.99708261683003696</v>
      </c>
      <c r="Q14">
        <f t="shared" si="6"/>
        <v>0.19145949649799252</v>
      </c>
      <c r="R14">
        <f t="shared" si="7"/>
        <v>0.57635797146270884</v>
      </c>
      <c r="S14">
        <f t="shared" si="8"/>
        <v>83.688856729377719</v>
      </c>
      <c r="T14">
        <f t="shared" si="9"/>
        <v>0.22878385026862172</v>
      </c>
      <c r="U14">
        <f t="shared" si="10"/>
        <v>228.78385026862171</v>
      </c>
    </row>
    <row r="15" spans="1:22">
      <c r="E15" s="1">
        <v>8.1449999999999996</v>
      </c>
      <c r="F15" s="1">
        <v>9.4674999999999994</v>
      </c>
      <c r="G15" s="1">
        <f t="shared" si="0"/>
        <v>8.6888567293777133</v>
      </c>
      <c r="I15" s="1">
        <v>80</v>
      </c>
      <c r="J15" s="1">
        <v>8.4931999999999999</v>
      </c>
      <c r="K15" s="1">
        <v>38.728400000000001</v>
      </c>
      <c r="L15">
        <f t="shared" si="1"/>
        <v>0.21930159779386701</v>
      </c>
      <c r="M15">
        <f t="shared" si="2"/>
        <v>0.6030415901556283</v>
      </c>
      <c r="N15">
        <f t="shared" si="3"/>
        <v>0.98040531173875001</v>
      </c>
      <c r="O15">
        <f t="shared" si="4"/>
        <v>0.98345457274434311</v>
      </c>
      <c r="P15">
        <f t="shared" si="5"/>
        <v>0.99689943888604426</v>
      </c>
      <c r="Q15">
        <f t="shared" si="6"/>
        <v>0.22299108049485497</v>
      </c>
      <c r="R15">
        <f t="shared" si="7"/>
        <v>0.60640461428879944</v>
      </c>
      <c r="S15">
        <f t="shared" si="8"/>
        <v>88.688856729377719</v>
      </c>
      <c r="T15">
        <f t="shared" si="9"/>
        <v>0.22145368139522656</v>
      </c>
      <c r="U15">
        <f t="shared" si="10"/>
        <v>221.45368139522657</v>
      </c>
    </row>
    <row r="16" spans="1:22">
      <c r="E16" s="1">
        <v>8.1449999999999996</v>
      </c>
      <c r="F16" s="1">
        <v>9.4674999999999994</v>
      </c>
      <c r="G16" s="1">
        <f t="shared" si="0"/>
        <v>8.6888567293777133</v>
      </c>
      <c r="I16" s="1">
        <v>85</v>
      </c>
      <c r="J16" s="1">
        <v>9.6442999999999994</v>
      </c>
      <c r="K16" s="1">
        <v>35.863</v>
      </c>
      <c r="L16">
        <f t="shared" si="1"/>
        <v>0.26892061456096811</v>
      </c>
      <c r="M16">
        <f t="shared" si="2"/>
        <v>0.64546797323519534</v>
      </c>
      <c r="N16">
        <f t="shared" si="3"/>
        <v>0.97982934366823526</v>
      </c>
      <c r="O16">
        <f t="shared" si="4"/>
        <v>0.98322814062613961</v>
      </c>
      <c r="P16">
        <f t="shared" si="5"/>
        <v>0.99654322652345984</v>
      </c>
      <c r="Q16">
        <f t="shared" si="6"/>
        <v>0.27350784975470088</v>
      </c>
      <c r="R16">
        <f t="shared" si="7"/>
        <v>0.64911742130108063</v>
      </c>
      <c r="S16">
        <f t="shared" si="8"/>
        <v>93.688856729377719</v>
      </c>
      <c r="T16">
        <f t="shared" si="9"/>
        <v>0.2203561788353868</v>
      </c>
      <c r="U16">
        <f t="shared" si="10"/>
        <v>220.3561788353868</v>
      </c>
    </row>
    <row r="17" spans="5:21">
      <c r="E17" s="1">
        <v>8.1449999999999996</v>
      </c>
      <c r="F17" s="1">
        <v>9.4674999999999994</v>
      </c>
      <c r="G17" s="1">
        <f t="shared" si="0"/>
        <v>8.6888567293777133</v>
      </c>
      <c r="I17" s="1">
        <v>90</v>
      </c>
      <c r="J17" s="1">
        <v>10.6868</v>
      </c>
      <c r="K17" s="1">
        <v>33.432400000000001</v>
      </c>
      <c r="L17">
        <f t="shared" si="1"/>
        <v>0.31965398834663378</v>
      </c>
      <c r="M17">
        <f t="shared" si="2"/>
        <v>0.68374375992558967</v>
      </c>
      <c r="N17">
        <f t="shared" si="3"/>
        <v>0.97965082873185183</v>
      </c>
      <c r="O17">
        <f t="shared" si="4"/>
        <v>0.98325462845882527</v>
      </c>
      <c r="P17">
        <f t="shared" si="5"/>
        <v>0.99633482556535524</v>
      </c>
      <c r="Q17">
        <f t="shared" si="6"/>
        <v>0.32509787301755844</v>
      </c>
      <c r="R17">
        <f t="shared" si="7"/>
        <v>0.68760344309190558</v>
      </c>
      <c r="S17">
        <f t="shared" si="8"/>
        <v>98.688856729377719</v>
      </c>
      <c r="T17">
        <f t="shared" si="9"/>
        <v>0.21604893604912359</v>
      </c>
      <c r="U17">
        <f t="shared" si="10"/>
        <v>216.0489360491236</v>
      </c>
    </row>
    <row r="18" spans="5:21">
      <c r="J18" s="1"/>
      <c r="K18" s="1"/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5B05-1BA6-4B02-8E2D-91110A2F231B}">
  <dimension ref="A1:V17"/>
  <sheetViews>
    <sheetView topLeftCell="N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6.58203125" bestFit="1" customWidth="1"/>
    <col min="6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4" width="12.33203125" bestFit="1" customWidth="1"/>
    <col min="15" max="15" width="11.25" bestFit="1" customWidth="1"/>
    <col min="16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84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83</v>
      </c>
      <c r="B2" s="2">
        <v>3.85</v>
      </c>
      <c r="C2" s="2">
        <v>25.086670000000002</v>
      </c>
      <c r="D2" s="2">
        <v>45</v>
      </c>
      <c r="E2" s="2">
        <v>8.2050000000000001</v>
      </c>
      <c r="F2" s="2">
        <v>9.52</v>
      </c>
      <c r="G2" s="2">
        <f>0.07684/0.00673</f>
        <v>11.417533432392274</v>
      </c>
      <c r="H2" s="2" t="s">
        <v>9</v>
      </c>
      <c r="I2" s="2">
        <v>45</v>
      </c>
      <c r="J2" s="2">
        <v>3.6631999999999998</v>
      </c>
      <c r="K2" s="2">
        <v>67.471999999999994</v>
      </c>
      <c r="L2" s="3">
        <f>J2:J25/K2:K25</f>
        <v>5.4292150818117148E-2</v>
      </c>
      <c r="M2" s="3">
        <f>(L2:L25)^(1/3)</f>
        <v>0.37865673190444932</v>
      </c>
      <c r="N2" s="3">
        <f>1-((3/10)*(J2:J25/I2:I25)^2)-((3/2)*((J2:J25*E2)/(I2:I25)^2))</f>
        <v>0.97574787937185192</v>
      </c>
      <c r="O2" s="3">
        <f>1-(F2/I2:I25)^3-((9/8)*(1-(F2/I2:I25)^2)*((J2:J25*E2)/I2:I25^2))-((9/35)*(J2:J25/I2:I25)^2)</f>
        <v>0.972876916220761</v>
      </c>
      <c r="P2" s="3">
        <f>N2:N25/O2:O25</f>
        <v>1.0029510034653135</v>
      </c>
      <c r="Q2" s="3">
        <f>L2:L25/O2:O25</f>
        <v>5.5805775543550269E-2</v>
      </c>
      <c r="R2" s="3">
        <f>Q2:Q25^(1/3)</f>
        <v>0.38214341705078481</v>
      </c>
      <c r="S2" s="3">
        <f>I2:I25+G2</f>
        <v>56.417533432392275</v>
      </c>
      <c r="T2" s="3">
        <f>(P2:P25*3*K2:K25*J2:J25)/(2*25.08667*S2:S25)</f>
        <v>0.26272299028827645</v>
      </c>
      <c r="U2" s="3">
        <f>T2:T25*1000</f>
        <v>262.72299028827643</v>
      </c>
      <c r="V2">
        <f>AVERAGE(U3:U17)</f>
        <v>236.86987397790543</v>
      </c>
    </row>
    <row r="3" spans="1:22">
      <c r="E3" s="1">
        <v>8.2050000000000001</v>
      </c>
      <c r="F3" s="1">
        <v>9.52</v>
      </c>
      <c r="G3" s="1">
        <f t="shared" ref="G3:G17" si="0">0.07684/0.00673</f>
        <v>11.417533432392274</v>
      </c>
      <c r="I3" s="1">
        <v>46</v>
      </c>
      <c r="J3" s="1">
        <v>3.8094999999999999</v>
      </c>
      <c r="K3" s="1">
        <v>65.860600000000005</v>
      </c>
      <c r="L3">
        <f t="shared" ref="L3:L17" si="1">J3:J26/K3:K26</f>
        <v>5.7841866001828099E-2</v>
      </c>
      <c r="M3">
        <f t="shared" ref="M3:M17" si="2">(L3:L26)^(1/3)</f>
        <v>0.38673555236983198</v>
      </c>
      <c r="N3">
        <f t="shared" ref="N3:N17" si="3">1-((3/10)*(J3:J26/I3:I26)^2)-((3/2)*((J3:J26*E3)/(I3:I26)^2))</f>
        <v>0.97578492045132326</v>
      </c>
      <c r="O3">
        <f t="shared" ref="O3:O17" si="4">1-(F3/I3:I26)^3-((9/8)*(1-(F3/I3:I26)^2)*((J3:J26*E3)/I3:I26^2))-((9/35)*(J3:J26/I3:I26)^2)</f>
        <v>0.97346586111093769</v>
      </c>
      <c r="P3">
        <f t="shared" ref="P3:P17" si="5">N3:N26/O3:O26</f>
        <v>1.0023822708458816</v>
      </c>
      <c r="Q3">
        <f t="shared" ref="Q3:Q17" si="6">L3:L26/O3:O26</f>
        <v>5.941848431728039E-2</v>
      </c>
      <c r="R3">
        <f t="shared" ref="R3:R17" si="7">Q3:Q26^(1/3)</f>
        <v>0.39021790215593932</v>
      </c>
      <c r="S3">
        <f t="shared" ref="S3:S17" si="8">I3:I26+G3</f>
        <v>57.417533432392275</v>
      </c>
      <c r="T3">
        <f t="shared" ref="T3:T17" si="9">(P3:P26*3*K3:K26*J3:J26)/(2*25.08667*S3:S26)</f>
        <v>0.26189713504938228</v>
      </c>
      <c r="U3">
        <f t="shared" ref="U3:U17" si="10">T3:T26*1000</f>
        <v>261.89713504938226</v>
      </c>
    </row>
    <row r="4" spans="1:22">
      <c r="E4" s="1">
        <v>8.2050000000000001</v>
      </c>
      <c r="F4" s="1">
        <v>9.52</v>
      </c>
      <c r="G4" s="1">
        <f t="shared" si="0"/>
        <v>11.417533432392274</v>
      </c>
      <c r="I4" s="1">
        <v>47</v>
      </c>
      <c r="J4" s="1">
        <v>3.8853</v>
      </c>
      <c r="K4" s="1">
        <v>64.773700000000005</v>
      </c>
      <c r="L4">
        <f t="shared" si="1"/>
        <v>5.9982678154868407E-2</v>
      </c>
      <c r="M4">
        <f t="shared" si="2"/>
        <v>0.39144908675142825</v>
      </c>
      <c r="N4">
        <f t="shared" si="3"/>
        <v>0.97630285351878676</v>
      </c>
      <c r="O4">
        <f t="shared" si="4"/>
        <v>0.97436327387269694</v>
      </c>
      <c r="P4">
        <f t="shared" si="5"/>
        <v>1.0019906124318303</v>
      </c>
      <c r="Q4">
        <f t="shared" si="6"/>
        <v>6.1560898038019951E-2</v>
      </c>
      <c r="R4">
        <f t="shared" si="7"/>
        <v>0.39485258193388134</v>
      </c>
      <c r="S4">
        <f t="shared" si="8"/>
        <v>58.417533432392275</v>
      </c>
      <c r="T4">
        <f t="shared" si="9"/>
        <v>0.25810234038250646</v>
      </c>
      <c r="U4">
        <f t="shared" si="10"/>
        <v>258.10234038250644</v>
      </c>
    </row>
    <row r="5" spans="1:22">
      <c r="E5" s="1">
        <v>8.2050000000000001</v>
      </c>
      <c r="F5" s="1">
        <v>9.52</v>
      </c>
      <c r="G5" s="1">
        <f t="shared" si="0"/>
        <v>11.417533432392274</v>
      </c>
      <c r="I5" s="1">
        <v>48</v>
      </c>
      <c r="J5" s="1">
        <v>3.9807999999999999</v>
      </c>
      <c r="K5" s="1">
        <v>63.291699999999999</v>
      </c>
      <c r="L5">
        <f t="shared" si="1"/>
        <v>6.2896082740706918E-2</v>
      </c>
      <c r="M5">
        <f t="shared" si="2"/>
        <v>0.39768682117188886</v>
      </c>
      <c r="N5">
        <f t="shared" si="3"/>
        <v>0.97667199366666668</v>
      </c>
      <c r="O5">
        <f t="shared" si="4"/>
        <v>0.97510860738033645</v>
      </c>
      <c r="P5">
        <f t="shared" si="5"/>
        <v>1.0016032945197051</v>
      </c>
      <c r="Q5">
        <f t="shared" si="6"/>
        <v>6.4501617834837349E-2</v>
      </c>
      <c r="R5">
        <f t="shared" si="7"/>
        <v>0.40104231872591894</v>
      </c>
      <c r="S5">
        <f t="shared" si="8"/>
        <v>59.417533432392275</v>
      </c>
      <c r="T5">
        <f t="shared" si="9"/>
        <v>0.25394898818360623</v>
      </c>
      <c r="U5">
        <f t="shared" si="10"/>
        <v>253.94898818360622</v>
      </c>
    </row>
    <row r="6" spans="1:22">
      <c r="E6" s="1">
        <v>8.2050000000000001</v>
      </c>
      <c r="F6" s="1">
        <v>9.52</v>
      </c>
      <c r="G6" s="1">
        <f t="shared" si="0"/>
        <v>11.417533432392274</v>
      </c>
      <c r="I6" s="1">
        <v>49</v>
      </c>
      <c r="J6" s="1">
        <v>4.0746000000000002</v>
      </c>
      <c r="K6" s="1">
        <v>61.335299999999997</v>
      </c>
      <c r="L6">
        <f t="shared" si="1"/>
        <v>6.6431565509584206E-2</v>
      </c>
      <c r="M6">
        <f t="shared" si="2"/>
        <v>0.40500292739759602</v>
      </c>
      <c r="N6">
        <f t="shared" si="3"/>
        <v>0.97703921322448972</v>
      </c>
      <c r="O6">
        <f t="shared" si="4"/>
        <v>0.975814755446059</v>
      </c>
      <c r="P6">
        <f t="shared" si="5"/>
        <v>1.0012548055577115</v>
      </c>
      <c r="Q6">
        <f t="shared" si="6"/>
        <v>6.8078049792572953E-2</v>
      </c>
      <c r="R6">
        <f t="shared" si="7"/>
        <v>0.40832161339119283</v>
      </c>
      <c r="S6">
        <f t="shared" si="8"/>
        <v>60.417533432392275</v>
      </c>
      <c r="T6">
        <f t="shared" si="9"/>
        <v>0.24764259097069694</v>
      </c>
      <c r="U6">
        <f t="shared" si="10"/>
        <v>247.64259097069694</v>
      </c>
    </row>
    <row r="7" spans="1:22">
      <c r="E7" s="1">
        <v>8.2050000000000001</v>
      </c>
      <c r="F7" s="1">
        <v>9.52</v>
      </c>
      <c r="G7" s="1">
        <f t="shared" si="0"/>
        <v>11.417533432392274</v>
      </c>
      <c r="I7" s="1">
        <v>50</v>
      </c>
      <c r="J7" s="1">
        <v>4.1603000000000003</v>
      </c>
      <c r="K7" s="1">
        <v>60.999299999999998</v>
      </c>
      <c r="L7">
        <f t="shared" si="1"/>
        <v>6.8202421995006507E-2</v>
      </c>
      <c r="M7">
        <f t="shared" si="2"/>
        <v>0.40857011719960828</v>
      </c>
      <c r="N7">
        <f t="shared" si="3"/>
        <v>0.97744187156920004</v>
      </c>
      <c r="O7">
        <f t="shared" si="4"/>
        <v>0.97651332438157856</v>
      </c>
      <c r="P7">
        <f t="shared" si="5"/>
        <v>1.0009508802024893</v>
      </c>
      <c r="Q7">
        <f t="shared" si="6"/>
        <v>6.984279711513286E-2</v>
      </c>
      <c r="R7">
        <f t="shared" si="7"/>
        <v>0.41181978543975656</v>
      </c>
      <c r="S7">
        <f t="shared" si="8"/>
        <v>61.417533432392275</v>
      </c>
      <c r="T7">
        <f t="shared" si="9"/>
        <v>0.2472965952400806</v>
      </c>
      <c r="U7">
        <f t="shared" si="10"/>
        <v>247.29659524008059</v>
      </c>
    </row>
    <row r="8" spans="1:22">
      <c r="E8" s="1">
        <v>8.2050000000000001</v>
      </c>
      <c r="F8" s="1">
        <v>9.52</v>
      </c>
      <c r="G8" s="1">
        <f t="shared" si="0"/>
        <v>11.417533432392274</v>
      </c>
      <c r="I8" s="1">
        <v>51</v>
      </c>
      <c r="J8" s="1">
        <v>4.2573999999999996</v>
      </c>
      <c r="K8" s="1">
        <v>59.141800000000003</v>
      </c>
      <c r="L8">
        <f t="shared" si="1"/>
        <v>7.1986310866426109E-2</v>
      </c>
      <c r="M8">
        <f t="shared" si="2"/>
        <v>0.41599039761956491</v>
      </c>
      <c r="N8">
        <f t="shared" si="3"/>
        <v>0.97776409576009227</v>
      </c>
      <c r="O8">
        <f t="shared" si="4"/>
        <v>0.97712124734361139</v>
      </c>
      <c r="P8">
        <f t="shared" si="5"/>
        <v>1.0006579003559983</v>
      </c>
      <c r="Q8">
        <f t="shared" si="6"/>
        <v>7.3671830453106116E-2</v>
      </c>
      <c r="R8">
        <f t="shared" si="7"/>
        <v>0.41921211030193195</v>
      </c>
      <c r="S8">
        <f t="shared" si="8"/>
        <v>62.417533432392275</v>
      </c>
      <c r="T8">
        <f t="shared" si="9"/>
        <v>0.24136053631084445</v>
      </c>
      <c r="U8">
        <f t="shared" si="10"/>
        <v>241.36053631084445</v>
      </c>
    </row>
    <row r="9" spans="1:22">
      <c r="E9" s="1">
        <v>8.2050000000000001</v>
      </c>
      <c r="F9" s="1">
        <v>9.52</v>
      </c>
      <c r="G9" s="1">
        <f t="shared" si="0"/>
        <v>11.417533432392274</v>
      </c>
      <c r="I9" s="1">
        <v>52</v>
      </c>
      <c r="J9" s="1">
        <v>4.4105999999999996</v>
      </c>
      <c r="K9" s="1">
        <v>58.292099999999998</v>
      </c>
      <c r="L9">
        <f t="shared" si="1"/>
        <v>7.5663769189993152E-2</v>
      </c>
      <c r="M9">
        <f t="shared" si="2"/>
        <v>0.42295677954118055</v>
      </c>
      <c r="N9">
        <f t="shared" si="3"/>
        <v>0.97776646552958579</v>
      </c>
      <c r="O9">
        <f t="shared" si="4"/>
        <v>0.9774620341167245</v>
      </c>
      <c r="P9">
        <f t="shared" si="5"/>
        <v>1.0003114508822191</v>
      </c>
      <c r="Q9">
        <f t="shared" si="6"/>
        <v>7.7408397000673368E-2</v>
      </c>
      <c r="R9">
        <f t="shared" si="7"/>
        <v>0.42618290433326123</v>
      </c>
      <c r="S9">
        <f t="shared" si="8"/>
        <v>63.417533432392275</v>
      </c>
      <c r="T9">
        <f t="shared" si="9"/>
        <v>0.24248311937700737</v>
      </c>
      <c r="U9">
        <f t="shared" si="10"/>
        <v>242.48311937700737</v>
      </c>
    </row>
    <row r="10" spans="1:22">
      <c r="E10" s="1">
        <v>8.2050000000000001</v>
      </c>
      <c r="F10" s="1">
        <v>9.52</v>
      </c>
      <c r="G10" s="1">
        <f t="shared" si="0"/>
        <v>11.417533432392274</v>
      </c>
      <c r="I10" s="1">
        <v>55</v>
      </c>
      <c r="J10" s="1">
        <v>4.8305999999999996</v>
      </c>
      <c r="K10" s="1">
        <v>55.15</v>
      </c>
      <c r="L10">
        <f t="shared" si="1"/>
        <v>8.7590208522212137E-2</v>
      </c>
      <c r="M10">
        <f t="shared" si="2"/>
        <v>0.44410451324907496</v>
      </c>
      <c r="N10">
        <f t="shared" si="3"/>
        <v>0.97803206003041321</v>
      </c>
      <c r="O10">
        <f t="shared" si="4"/>
        <v>0.97853183961225254</v>
      </c>
      <c r="P10">
        <f t="shared" si="5"/>
        <v>0.99948925567711999</v>
      </c>
      <c r="Q10">
        <f t="shared" si="6"/>
        <v>8.9511863565849975E-2</v>
      </c>
      <c r="R10">
        <f t="shared" si="7"/>
        <v>0.44732880659317686</v>
      </c>
      <c r="S10">
        <f t="shared" si="8"/>
        <v>66.417533432392275</v>
      </c>
      <c r="T10">
        <f t="shared" si="9"/>
        <v>0.23971224691956866</v>
      </c>
      <c r="U10">
        <f t="shared" si="10"/>
        <v>239.71224691956866</v>
      </c>
    </row>
    <row r="11" spans="1:22">
      <c r="E11" s="1">
        <v>8.2050000000000001</v>
      </c>
      <c r="F11" s="1">
        <v>9.52</v>
      </c>
      <c r="G11" s="1">
        <f t="shared" si="0"/>
        <v>11.417533432392274</v>
      </c>
      <c r="I11" s="1">
        <v>60</v>
      </c>
      <c r="J11" s="1">
        <v>5.6045999999999996</v>
      </c>
      <c r="K11" s="1">
        <v>51.316299999999998</v>
      </c>
      <c r="L11">
        <f t="shared" si="1"/>
        <v>0.10921675958710975</v>
      </c>
      <c r="M11">
        <f t="shared" si="2"/>
        <v>0.47800205350784991</v>
      </c>
      <c r="N11">
        <f t="shared" si="3"/>
        <v>0.97822164532</v>
      </c>
      <c r="O11">
        <f t="shared" si="4"/>
        <v>0.97975310289734352</v>
      </c>
      <c r="P11">
        <f t="shared" si="5"/>
        <v>0.99843689438409056</v>
      </c>
      <c r="Q11">
        <f t="shared" si="6"/>
        <v>0.11147375728041277</v>
      </c>
      <c r="R11">
        <f t="shared" si="7"/>
        <v>0.48127231506007817</v>
      </c>
      <c r="S11">
        <f t="shared" si="8"/>
        <v>71.417533432392275</v>
      </c>
      <c r="T11">
        <f t="shared" si="9"/>
        <v>0.24041633589484007</v>
      </c>
      <c r="U11">
        <f t="shared" si="10"/>
        <v>240.41633589484007</v>
      </c>
    </row>
    <row r="12" spans="1:22">
      <c r="E12" s="1">
        <v>8.2050000000000001</v>
      </c>
      <c r="F12" s="1">
        <v>9.52</v>
      </c>
      <c r="G12" s="1">
        <f t="shared" si="0"/>
        <v>11.417533432392274</v>
      </c>
      <c r="I12" s="1">
        <v>65</v>
      </c>
      <c r="J12" s="1">
        <v>6.3094000000000001</v>
      </c>
      <c r="K12" s="1">
        <v>48.786900000000003</v>
      </c>
      <c r="L12">
        <f t="shared" si="1"/>
        <v>0.12932570013671701</v>
      </c>
      <c r="M12">
        <f t="shared" si="2"/>
        <v>0.5057023200487758</v>
      </c>
      <c r="N12">
        <f t="shared" si="3"/>
        <v>0.97879396473183433</v>
      </c>
      <c r="O12">
        <f t="shared" si="4"/>
        <v>0.9809465673312735</v>
      </c>
      <c r="P12">
        <f t="shared" si="5"/>
        <v>0.99780558628662575</v>
      </c>
      <c r="Q12">
        <f t="shared" si="6"/>
        <v>0.13183766011695791</v>
      </c>
      <c r="R12">
        <f t="shared" si="7"/>
        <v>0.50895551982571463</v>
      </c>
      <c r="S12">
        <f t="shared" si="8"/>
        <v>76.417533432392275</v>
      </c>
      <c r="T12">
        <f t="shared" si="9"/>
        <v>0.24032139823732038</v>
      </c>
      <c r="U12">
        <f t="shared" si="10"/>
        <v>240.32139823732038</v>
      </c>
    </row>
    <row r="13" spans="1:22">
      <c r="E13" s="1">
        <v>8.2050000000000001</v>
      </c>
      <c r="F13" s="1">
        <v>9.52</v>
      </c>
      <c r="G13" s="1">
        <f t="shared" si="0"/>
        <v>11.417533432392274</v>
      </c>
      <c r="I13" s="1">
        <v>70</v>
      </c>
      <c r="J13" s="1">
        <v>7.1493000000000002</v>
      </c>
      <c r="K13" s="1">
        <v>45.822699999999998</v>
      </c>
      <c r="L13">
        <f t="shared" si="1"/>
        <v>0.15602092412712479</v>
      </c>
      <c r="M13">
        <f t="shared" si="2"/>
        <v>0.53834532830047122</v>
      </c>
      <c r="N13">
        <f t="shared" si="3"/>
        <v>0.9789135190006123</v>
      </c>
      <c r="O13">
        <f t="shared" si="4"/>
        <v>0.98158349874744211</v>
      </c>
      <c r="P13">
        <f t="shared" si="5"/>
        <v>0.99727992600707238</v>
      </c>
      <c r="Q13">
        <f t="shared" si="6"/>
        <v>0.15894819373615857</v>
      </c>
      <c r="R13">
        <f t="shared" si="7"/>
        <v>0.54169130642424046</v>
      </c>
      <c r="S13">
        <f t="shared" si="8"/>
        <v>81.417533432392275</v>
      </c>
      <c r="T13">
        <f t="shared" si="9"/>
        <v>0.23993387887492912</v>
      </c>
      <c r="U13">
        <f t="shared" si="10"/>
        <v>239.93387887492912</v>
      </c>
    </row>
    <row r="14" spans="1:22">
      <c r="E14" s="1">
        <v>8.2050000000000001</v>
      </c>
      <c r="F14" s="1">
        <v>9.52</v>
      </c>
      <c r="G14" s="1">
        <f t="shared" si="0"/>
        <v>11.417533432392274</v>
      </c>
      <c r="I14" s="1">
        <v>75</v>
      </c>
      <c r="J14" s="1">
        <v>7.8080999999999996</v>
      </c>
      <c r="K14" s="1">
        <v>39.6374</v>
      </c>
      <c r="L14">
        <f t="shared" si="1"/>
        <v>0.19698819801500603</v>
      </c>
      <c r="M14">
        <f t="shared" si="2"/>
        <v>0.58185316695846068</v>
      </c>
      <c r="N14">
        <f t="shared" si="3"/>
        <v>0.97966433450079993</v>
      </c>
      <c r="O14">
        <f t="shared" si="4"/>
        <v>0.98256115785871712</v>
      </c>
      <c r="P14">
        <f t="shared" si="5"/>
        <v>0.99705176279893848</v>
      </c>
      <c r="Q14">
        <f t="shared" si="6"/>
        <v>0.20048441406364961</v>
      </c>
      <c r="R14">
        <f t="shared" si="7"/>
        <v>0.58527531207004202</v>
      </c>
      <c r="S14">
        <f t="shared" si="8"/>
        <v>86.417533432392275</v>
      </c>
      <c r="T14">
        <f t="shared" si="9"/>
        <v>0.2135082237887139</v>
      </c>
      <c r="U14">
        <f t="shared" si="10"/>
        <v>213.50822378871391</v>
      </c>
    </row>
    <row r="15" spans="1:22">
      <c r="E15" s="1">
        <v>8.2050000000000001</v>
      </c>
      <c r="F15" s="1">
        <v>9.52</v>
      </c>
      <c r="G15" s="1">
        <f t="shared" si="0"/>
        <v>11.417533432392274</v>
      </c>
      <c r="I15" s="1">
        <v>80</v>
      </c>
      <c r="J15" s="1">
        <v>8.6842000000000006</v>
      </c>
      <c r="K15" s="1">
        <v>37.997199999999999</v>
      </c>
      <c r="L15">
        <f t="shared" si="1"/>
        <v>0.22854841935721582</v>
      </c>
      <c r="M15">
        <f t="shared" si="2"/>
        <v>0.61140090046800655</v>
      </c>
      <c r="N15">
        <f t="shared" si="3"/>
        <v>0.97976478275125001</v>
      </c>
      <c r="O15">
        <f t="shared" si="4"/>
        <v>0.98293703587583192</v>
      </c>
      <c r="P15">
        <f t="shared" si="5"/>
        <v>0.99677267921667501</v>
      </c>
      <c r="Q15">
        <f t="shared" si="6"/>
        <v>0.23251582859890005</v>
      </c>
      <c r="R15">
        <f t="shared" si="7"/>
        <v>0.61491842714660339</v>
      </c>
      <c r="S15">
        <f t="shared" si="8"/>
        <v>91.417533432392275</v>
      </c>
      <c r="T15">
        <f t="shared" si="9"/>
        <v>0.21512767334485086</v>
      </c>
      <c r="U15">
        <f t="shared" si="10"/>
        <v>215.12767334485085</v>
      </c>
    </row>
    <row r="16" spans="1:22">
      <c r="E16" s="1">
        <v>8.2050000000000001</v>
      </c>
      <c r="F16" s="1">
        <v>9.52</v>
      </c>
      <c r="G16" s="1">
        <f t="shared" si="0"/>
        <v>11.417533432392274</v>
      </c>
      <c r="I16" s="1">
        <v>85</v>
      </c>
      <c r="J16" s="1">
        <v>9.6442999999999994</v>
      </c>
      <c r="K16" s="1">
        <v>35.270200000000003</v>
      </c>
      <c r="L16">
        <f t="shared" si="1"/>
        <v>0.27344046815725453</v>
      </c>
      <c r="M16">
        <f t="shared" si="2"/>
        <v>0.64906411123931518</v>
      </c>
      <c r="N16">
        <f t="shared" si="3"/>
        <v>0.9797092070592387</v>
      </c>
      <c r="O16">
        <f t="shared" si="4"/>
        <v>0.9831177406500049</v>
      </c>
      <c r="P16">
        <f t="shared" si="5"/>
        <v>0.99653293451045588</v>
      </c>
      <c r="Q16">
        <f t="shared" si="6"/>
        <v>0.27813603279752103</v>
      </c>
      <c r="R16">
        <f t="shared" si="7"/>
        <v>0.65275832388751265</v>
      </c>
      <c r="S16">
        <f t="shared" si="8"/>
        <v>96.417533432392275</v>
      </c>
      <c r="T16">
        <f t="shared" si="9"/>
        <v>0.21021442535736692</v>
      </c>
      <c r="U16">
        <f t="shared" si="10"/>
        <v>210.21442535736693</v>
      </c>
    </row>
    <row r="17" spans="5:21">
      <c r="E17" s="1">
        <v>8.2050000000000001</v>
      </c>
      <c r="F17" s="1">
        <v>9.52</v>
      </c>
      <c r="G17" s="1">
        <f t="shared" si="0"/>
        <v>11.417533432392274</v>
      </c>
      <c r="I17" s="1">
        <v>90</v>
      </c>
      <c r="J17" s="1">
        <v>10.3788</v>
      </c>
      <c r="K17" s="1">
        <v>32.977899999999998</v>
      </c>
      <c r="L17">
        <f t="shared" si="1"/>
        <v>0.31471985784419265</v>
      </c>
      <c r="M17">
        <f t="shared" si="2"/>
        <v>0.6802074466880359</v>
      </c>
      <c r="N17">
        <f t="shared" si="3"/>
        <v>0.98024037927999996</v>
      </c>
      <c r="O17">
        <f t="shared" si="4"/>
        <v>0.98370162239383285</v>
      </c>
      <c r="P17">
        <f t="shared" si="5"/>
        <v>0.99648140957070908</v>
      </c>
      <c r="Q17">
        <f t="shared" si="6"/>
        <v>0.31993426734249303</v>
      </c>
      <c r="R17">
        <f t="shared" si="7"/>
        <v>0.68394354160384063</v>
      </c>
      <c r="S17">
        <f t="shared" si="8"/>
        <v>101.41753343239228</v>
      </c>
      <c r="T17">
        <f t="shared" si="9"/>
        <v>0.20108262173686728</v>
      </c>
      <c r="U17">
        <f t="shared" si="10"/>
        <v>201.08262173686728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13BD-E5FA-4420-A145-AF55C3D5C694}">
  <dimension ref="A1:V17"/>
  <sheetViews>
    <sheetView topLeftCell="J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19" width="12.33203125" bestFit="1" customWidth="1"/>
    <col min="20" max="20" width="11.25" bestFit="1" customWidth="1"/>
    <col min="21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86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85</v>
      </c>
      <c r="B2" s="2">
        <v>3.89</v>
      </c>
      <c r="C2" s="2">
        <v>25.08</v>
      </c>
      <c r="D2" s="2">
        <v>45</v>
      </c>
      <c r="E2" s="2">
        <v>8.1575000000000006</v>
      </c>
      <c r="F2" s="2">
        <v>9.5399999999999991</v>
      </c>
      <c r="G2" s="2">
        <f>0.07868/0.00664</f>
        <v>11.849397590361445</v>
      </c>
      <c r="H2" s="2" t="s">
        <v>9</v>
      </c>
      <c r="I2" s="2">
        <v>45</v>
      </c>
      <c r="J2" s="2">
        <v>3.4384000000000001</v>
      </c>
      <c r="K2" s="2">
        <v>66.638099999999994</v>
      </c>
      <c r="L2" s="3">
        <f>J2:J25/K2:K25</f>
        <v>5.1598109790045039E-2</v>
      </c>
      <c r="M2" s="3">
        <f>(L2:L25)^(1/3)</f>
        <v>0.37228705103165965</v>
      </c>
      <c r="N2" s="3">
        <f>1-((3/10)*(J2:J25/I2:I25)^2)-((3/2)*((J2:J25*E2)/(I2:I25)^2))</f>
        <v>0.97747165413925929</v>
      </c>
      <c r="O2" s="3">
        <f>1-(F2/I2:I25)^3-((9/8)*(1-(F2/I2:I25)^2)*((J2:J25*E2)/I2:I25^2))-((9/35)*(J2:J25/I2:I25)^2)</f>
        <v>0.97408829844561773</v>
      </c>
      <c r="P2" s="3">
        <f>N2:N25/O2:O25</f>
        <v>1.003473356264561</v>
      </c>
      <c r="Q2" s="3">
        <f>L2:L25/O2:O25</f>
        <v>5.2970669981747764E-2</v>
      </c>
      <c r="R2" s="3">
        <f>Q2:Q25^(1/3)</f>
        <v>0.37555927211461976</v>
      </c>
      <c r="S2" s="3">
        <f>I2:I25+G2</f>
        <v>56.849397590361448</v>
      </c>
      <c r="T2" s="3">
        <f>(P2:P25*3*K2:K25*J2:J25)/(2*25.08*S2:S25)</f>
        <v>0.24189267080534613</v>
      </c>
      <c r="U2" s="3">
        <f>T2:T25*1000</f>
        <v>241.89267080534611</v>
      </c>
      <c r="V2">
        <f>AVERAGE(U3:U17)</f>
        <v>222.22452608362772</v>
      </c>
    </row>
    <row r="3" spans="1:22">
      <c r="E3" s="1">
        <v>8.1575000000000006</v>
      </c>
      <c r="F3" s="1">
        <v>9.5399999999999991</v>
      </c>
      <c r="G3" s="1">
        <f t="shared" ref="G3:G17" si="0">0.07868/0.00664</f>
        <v>11.849397590361445</v>
      </c>
      <c r="I3" s="1">
        <v>46</v>
      </c>
      <c r="J3" s="1">
        <v>3.5884</v>
      </c>
      <c r="K3" s="1">
        <v>64.438500000000005</v>
      </c>
      <c r="L3">
        <f t="shared" ref="L3:L17" si="1">J3:J26/K3:K26</f>
        <v>5.5687205630174506E-2</v>
      </c>
      <c r="M3">
        <f t="shared" ref="M3:M17" si="2">(L3:L26)^(1/3)</f>
        <v>0.38187257984957451</v>
      </c>
      <c r="N3">
        <f t="shared" ref="N3:N17" si="3">1-((3/10)*(J3:J26/I3:I26)^2)-((3/2)*((J3:J26*E3)/(I3:I26)^2))</f>
        <v>0.9774236560170132</v>
      </c>
      <c r="O3">
        <f t="shared" ref="O3:O17" si="4">1-(F3/I3:I26)^3-((9/8)*(1-(F3/I3:I26)^2)*((J3:J26*E3)/I3:I26^2))-((9/35)*(J3:J26/I3:I26)^2)</f>
        <v>0.97462138696306788</v>
      </c>
      <c r="P3">
        <f t="shared" ref="P3:P17" si="5">N3:N26/O3:O26</f>
        <v>1.0028752386223303</v>
      </c>
      <c r="Q3">
        <f t="shared" ref="Q3:Q17" si="6">L3:L26/O3:O26</f>
        <v>5.7137270303185647E-2</v>
      </c>
      <c r="R3">
        <f t="shared" ref="R3:R17" si="7">Q3:Q26^(1/3)</f>
        <v>0.38515880400644953</v>
      </c>
      <c r="S3">
        <f t="shared" ref="S3:S17" si="8">I3:I26+G3</f>
        <v>57.849397590361448</v>
      </c>
      <c r="T3">
        <f t="shared" ref="T3:T17" si="9">(P3:P26*3*K3:K26*J3:J26)/(2*25.08*S3:S26)</f>
        <v>0.23974969589744397</v>
      </c>
      <c r="U3">
        <f t="shared" ref="U3:U17" si="10">T3:T26*1000</f>
        <v>239.74969589744396</v>
      </c>
    </row>
    <row r="4" spans="1:22">
      <c r="E4" s="1">
        <v>8.1575000000000006</v>
      </c>
      <c r="F4" s="1">
        <v>9.5399999999999991</v>
      </c>
      <c r="G4" s="1">
        <f t="shared" si="0"/>
        <v>11.849397590361445</v>
      </c>
      <c r="I4" s="1">
        <v>47</v>
      </c>
      <c r="J4" s="1">
        <v>3.7435999999999998</v>
      </c>
      <c r="K4" s="1">
        <v>63.355200000000004</v>
      </c>
      <c r="L4">
        <f t="shared" si="1"/>
        <v>5.9089072404475078E-2</v>
      </c>
      <c r="M4">
        <f t="shared" si="2"/>
        <v>0.38949545186807122</v>
      </c>
      <c r="N4">
        <f t="shared" si="3"/>
        <v>0.97735989688184699</v>
      </c>
      <c r="O4">
        <f t="shared" si="4"/>
        <v>0.97509397530921715</v>
      </c>
      <c r="P4">
        <f t="shared" si="5"/>
        <v>1.0023237981466466</v>
      </c>
      <c r="Q4">
        <f t="shared" si="6"/>
        <v>6.0598336058570186E-2</v>
      </c>
      <c r="R4">
        <f t="shared" si="7"/>
        <v>0.39278379909415073</v>
      </c>
      <c r="S4">
        <f t="shared" si="8"/>
        <v>58.849397590361448</v>
      </c>
      <c r="T4">
        <f t="shared" si="9"/>
        <v>0.24160251570534441</v>
      </c>
      <c r="U4">
        <f t="shared" si="10"/>
        <v>241.60251570534442</v>
      </c>
    </row>
    <row r="5" spans="1:22">
      <c r="E5" s="1">
        <v>8.1575000000000006</v>
      </c>
      <c r="F5" s="1">
        <v>9.5399999999999991</v>
      </c>
      <c r="G5" s="1">
        <f t="shared" si="0"/>
        <v>11.849397590361445</v>
      </c>
      <c r="I5" s="1">
        <v>48</v>
      </c>
      <c r="J5" s="1">
        <v>3.8574000000000002</v>
      </c>
      <c r="K5" s="1">
        <v>61.541800000000002</v>
      </c>
      <c r="L5">
        <f t="shared" si="1"/>
        <v>6.267934964528174E-2</v>
      </c>
      <c r="M5">
        <f t="shared" si="2"/>
        <v>0.39722950022482478</v>
      </c>
      <c r="N5">
        <f t="shared" si="3"/>
        <v>0.97757640139843749</v>
      </c>
      <c r="O5">
        <f t="shared" si="4"/>
        <v>0.97573070917966831</v>
      </c>
      <c r="P5">
        <f t="shared" si="5"/>
        <v>1.0018916000095159</v>
      </c>
      <c r="Q5">
        <f t="shared" si="6"/>
        <v>6.4238369311937007E-2</v>
      </c>
      <c r="R5">
        <f t="shared" si="7"/>
        <v>0.4004959874700787</v>
      </c>
      <c r="S5">
        <f t="shared" si="8"/>
        <v>59.849397590361448</v>
      </c>
      <c r="T5">
        <f t="shared" si="9"/>
        <v>0.23767830935430162</v>
      </c>
      <c r="U5">
        <f t="shared" si="10"/>
        <v>237.67830935430163</v>
      </c>
    </row>
    <row r="6" spans="1:22">
      <c r="E6" s="1">
        <v>8.1575000000000006</v>
      </c>
      <c r="F6" s="1">
        <v>9.5399999999999991</v>
      </c>
      <c r="G6" s="1">
        <f t="shared" si="0"/>
        <v>11.849397590361445</v>
      </c>
      <c r="I6" s="1">
        <v>49</v>
      </c>
      <c r="J6" s="1">
        <v>3.9590999999999998</v>
      </c>
      <c r="K6" s="1">
        <v>60.752699999999997</v>
      </c>
      <c r="L6">
        <f t="shared" si="1"/>
        <v>6.5167474038190898E-2</v>
      </c>
      <c r="M6">
        <f t="shared" si="2"/>
        <v>0.4024175962128243</v>
      </c>
      <c r="N6">
        <f t="shared" si="3"/>
        <v>0.97786469003831733</v>
      </c>
      <c r="O6">
        <f t="shared" si="4"/>
        <v>0.97638228247885628</v>
      </c>
      <c r="P6">
        <f t="shared" si="5"/>
        <v>1.0015182655257708</v>
      </c>
      <c r="Q6">
        <f t="shared" si="6"/>
        <v>6.6743810500885556E-2</v>
      </c>
      <c r="R6">
        <f t="shared" si="7"/>
        <v>0.40563647421074789</v>
      </c>
      <c r="S6">
        <f t="shared" si="8"/>
        <v>60.849397590361448</v>
      </c>
      <c r="T6">
        <f t="shared" si="9"/>
        <v>0.23677092638106004</v>
      </c>
      <c r="U6">
        <f t="shared" si="10"/>
        <v>236.77092638106004</v>
      </c>
    </row>
    <row r="7" spans="1:22">
      <c r="E7" s="1">
        <v>8.1575000000000006</v>
      </c>
      <c r="F7" s="1">
        <v>9.5399999999999991</v>
      </c>
      <c r="G7" s="1">
        <f t="shared" si="0"/>
        <v>11.849397590361445</v>
      </c>
      <c r="I7" s="1">
        <v>50</v>
      </c>
      <c r="J7" s="1">
        <v>4.0793999999999997</v>
      </c>
      <c r="K7" s="1">
        <v>59.871000000000002</v>
      </c>
      <c r="L7">
        <f t="shared" si="1"/>
        <v>6.8136493460941014E-2</v>
      </c>
      <c r="M7">
        <f t="shared" si="2"/>
        <v>0.40843842533188324</v>
      </c>
      <c r="N7">
        <f t="shared" si="3"/>
        <v>0.97803639617680005</v>
      </c>
      <c r="O7">
        <f t="shared" si="4"/>
        <v>0.97691248792162488</v>
      </c>
      <c r="P7">
        <f t="shared" si="5"/>
        <v>1.0011504697391742</v>
      </c>
      <c r="Q7">
        <f t="shared" si="6"/>
        <v>6.9746772923233863E-2</v>
      </c>
      <c r="R7">
        <f t="shared" si="7"/>
        <v>0.41163096712009728</v>
      </c>
      <c r="S7">
        <f t="shared" si="8"/>
        <v>61.849397590361448</v>
      </c>
      <c r="T7">
        <f t="shared" si="9"/>
        <v>0.2364505954247822</v>
      </c>
      <c r="U7">
        <f t="shared" si="10"/>
        <v>236.45059542478219</v>
      </c>
    </row>
    <row r="8" spans="1:22">
      <c r="E8" s="1">
        <v>8.1575000000000006</v>
      </c>
      <c r="F8" s="1">
        <v>9.5399999999999991</v>
      </c>
      <c r="G8" s="1">
        <f t="shared" si="0"/>
        <v>11.849397590361445</v>
      </c>
      <c r="I8" s="1">
        <v>51</v>
      </c>
      <c r="J8" s="1">
        <v>4.165</v>
      </c>
      <c r="K8" s="1">
        <v>58.991500000000002</v>
      </c>
      <c r="L8">
        <f t="shared" si="1"/>
        <v>7.0603392014103719E-2</v>
      </c>
      <c r="M8">
        <f t="shared" si="2"/>
        <v>0.4133093106905632</v>
      </c>
      <c r="N8">
        <f t="shared" si="3"/>
        <v>0.9784051715686275</v>
      </c>
      <c r="O8">
        <f t="shared" si="4"/>
        <v>0.97755833789779656</v>
      </c>
      <c r="P8">
        <f t="shared" si="5"/>
        <v>1.0008662743060961</v>
      </c>
      <c r="Q8">
        <f t="shared" si="6"/>
        <v>7.2224223636549123E-2</v>
      </c>
      <c r="R8">
        <f t="shared" si="7"/>
        <v>0.41644817260480715</v>
      </c>
      <c r="S8">
        <f t="shared" si="8"/>
        <v>62.849397590361448</v>
      </c>
      <c r="T8">
        <f t="shared" si="9"/>
        <v>0.23401468314461779</v>
      </c>
      <c r="U8">
        <f t="shared" si="10"/>
        <v>234.01468314461778</v>
      </c>
    </row>
    <row r="9" spans="1:22">
      <c r="E9" s="1">
        <v>8.1575000000000006</v>
      </c>
      <c r="F9" s="1">
        <v>9.5399999999999991</v>
      </c>
      <c r="G9" s="1">
        <f t="shared" si="0"/>
        <v>11.849397590361445</v>
      </c>
      <c r="I9" s="1">
        <v>52</v>
      </c>
      <c r="J9" s="1">
        <v>4.3099999999999996</v>
      </c>
      <c r="K9" s="1">
        <v>58.6676</v>
      </c>
      <c r="L9">
        <f t="shared" si="1"/>
        <v>7.3464740333676504E-2</v>
      </c>
      <c r="M9">
        <f t="shared" si="2"/>
        <v>0.41881894257627644</v>
      </c>
      <c r="N9">
        <f t="shared" si="3"/>
        <v>0.97843525610207105</v>
      </c>
      <c r="O9">
        <f t="shared" si="4"/>
        <v>0.97792299754954093</v>
      </c>
      <c r="P9">
        <f t="shared" si="5"/>
        <v>1.0005238229940534</v>
      </c>
      <c r="Q9">
        <f t="shared" si="6"/>
        <v>7.5123236203425953E-2</v>
      </c>
      <c r="R9">
        <f t="shared" si="7"/>
        <v>0.42194718723085833</v>
      </c>
      <c r="S9">
        <f t="shared" si="8"/>
        <v>63.849397590361448</v>
      </c>
      <c r="T9">
        <f t="shared" si="9"/>
        <v>0.23697904723875873</v>
      </c>
      <c r="U9">
        <f t="shared" si="10"/>
        <v>236.97904723875874</v>
      </c>
    </row>
    <row r="10" spans="1:22">
      <c r="E10" s="1">
        <v>8.1575000000000006</v>
      </c>
      <c r="F10" s="1">
        <v>9.5399999999999991</v>
      </c>
      <c r="G10" s="1">
        <f t="shared" si="0"/>
        <v>11.849397590361445</v>
      </c>
      <c r="I10" s="1">
        <v>55</v>
      </c>
      <c r="J10" s="1">
        <v>4.6707000000000001</v>
      </c>
      <c r="K10" s="1">
        <v>54.992400000000004</v>
      </c>
      <c r="L10">
        <f t="shared" si="1"/>
        <v>8.4933554454797389E-2</v>
      </c>
      <c r="M10">
        <f t="shared" si="2"/>
        <v>0.43956836882229261</v>
      </c>
      <c r="N10">
        <f t="shared" si="3"/>
        <v>0.97894331093487608</v>
      </c>
      <c r="O10">
        <f t="shared" si="4"/>
        <v>0.97918336329984845</v>
      </c>
      <c r="P10">
        <f t="shared" si="5"/>
        <v>0.999754844318266</v>
      </c>
      <c r="Q10">
        <f t="shared" si="6"/>
        <v>8.6739172292073327E-2</v>
      </c>
      <c r="R10">
        <f t="shared" si="7"/>
        <v>0.44266150665231779</v>
      </c>
      <c r="S10">
        <f t="shared" si="8"/>
        <v>66.849397590361448</v>
      </c>
      <c r="T10">
        <f t="shared" si="9"/>
        <v>0.22974411375550521</v>
      </c>
      <c r="U10">
        <f t="shared" si="10"/>
        <v>229.74411375550523</v>
      </c>
    </row>
    <row r="11" spans="1:22">
      <c r="E11" s="1">
        <v>8.1575000000000006</v>
      </c>
      <c r="F11" s="1">
        <v>9.5399999999999991</v>
      </c>
      <c r="G11" s="1">
        <f t="shared" si="0"/>
        <v>11.849397590361445</v>
      </c>
      <c r="I11" s="1">
        <v>60</v>
      </c>
      <c r="J11" s="1">
        <v>5.3296000000000001</v>
      </c>
      <c r="K11" s="1">
        <v>50.3489</v>
      </c>
      <c r="L11">
        <f t="shared" si="1"/>
        <v>0.10585335528680866</v>
      </c>
      <c r="M11">
        <f t="shared" si="2"/>
        <v>0.47304400493293741</v>
      </c>
      <c r="N11">
        <f t="shared" si="3"/>
        <v>0.97951785865333341</v>
      </c>
      <c r="O11">
        <f t="shared" si="4"/>
        <v>0.98070857782825915</v>
      </c>
      <c r="P11">
        <f t="shared" si="5"/>
        <v>0.99878585830506084</v>
      </c>
      <c r="Q11">
        <f t="shared" si="6"/>
        <v>0.10793558624848247</v>
      </c>
      <c r="R11">
        <f t="shared" si="7"/>
        <v>0.47612562041281675</v>
      </c>
      <c r="S11">
        <f t="shared" si="8"/>
        <v>71.849397590361448</v>
      </c>
      <c r="T11">
        <f t="shared" si="9"/>
        <v>0.22309897878786547</v>
      </c>
      <c r="U11">
        <f t="shared" si="10"/>
        <v>223.09897878786546</v>
      </c>
    </row>
    <row r="12" spans="1:22">
      <c r="E12" s="1">
        <v>8.1575000000000006</v>
      </c>
      <c r="F12" s="1">
        <v>9.5399999999999991</v>
      </c>
      <c r="G12" s="1">
        <f t="shared" si="0"/>
        <v>11.849397590361445</v>
      </c>
      <c r="I12" s="1">
        <v>65</v>
      </c>
      <c r="J12" s="1">
        <v>6.0278999999999998</v>
      </c>
      <c r="K12" s="1">
        <v>47.580800000000004</v>
      </c>
      <c r="L12">
        <f t="shared" si="1"/>
        <v>0.12668765552491759</v>
      </c>
      <c r="M12">
        <f t="shared" si="2"/>
        <v>0.50224015578167902</v>
      </c>
      <c r="N12">
        <f t="shared" si="3"/>
        <v>0.97996223316023667</v>
      </c>
      <c r="O12">
        <f t="shared" si="4"/>
        <v>0.98181570086706549</v>
      </c>
      <c r="P12">
        <f t="shared" si="5"/>
        <v>0.9981122040468573</v>
      </c>
      <c r="Q12">
        <f t="shared" si="6"/>
        <v>0.12903404927527296</v>
      </c>
      <c r="R12">
        <f t="shared" si="7"/>
        <v>0.50532188644438014</v>
      </c>
      <c r="S12">
        <f t="shared" si="8"/>
        <v>76.849397590361448</v>
      </c>
      <c r="T12">
        <f t="shared" si="9"/>
        <v>0.22279241644089606</v>
      </c>
      <c r="U12">
        <f t="shared" si="10"/>
        <v>222.79241644089606</v>
      </c>
    </row>
    <row r="13" spans="1:22">
      <c r="E13" s="1">
        <v>8.1575000000000006</v>
      </c>
      <c r="F13" s="1">
        <v>9.5399999999999991</v>
      </c>
      <c r="G13" s="1">
        <f t="shared" si="0"/>
        <v>11.849397590361445</v>
      </c>
      <c r="I13" s="1">
        <v>70</v>
      </c>
      <c r="J13" s="1">
        <v>6.7869999999999999</v>
      </c>
      <c r="K13" s="1">
        <v>44.253300000000003</v>
      </c>
      <c r="L13">
        <f t="shared" si="1"/>
        <v>0.15336709352748834</v>
      </c>
      <c r="M13">
        <f t="shared" si="2"/>
        <v>0.53527553690747565</v>
      </c>
      <c r="N13">
        <f t="shared" si="3"/>
        <v>0.98023133888775515</v>
      </c>
      <c r="O13">
        <f t="shared" si="4"/>
        <v>0.9825760940211814</v>
      </c>
      <c r="P13">
        <f t="shared" si="5"/>
        <v>0.99761366560036047</v>
      </c>
      <c r="Q13">
        <f t="shared" si="6"/>
        <v>0.15608673410711152</v>
      </c>
      <c r="R13">
        <f t="shared" si="7"/>
        <v>0.53842100942117832</v>
      </c>
      <c r="S13">
        <f t="shared" si="8"/>
        <v>81.849397590361448</v>
      </c>
      <c r="T13">
        <f t="shared" si="9"/>
        <v>0.21894455054311049</v>
      </c>
      <c r="U13">
        <f t="shared" si="10"/>
        <v>218.94455054311049</v>
      </c>
    </row>
    <row r="14" spans="1:22">
      <c r="E14" s="1">
        <v>8.1575000000000006</v>
      </c>
      <c r="F14" s="1">
        <v>9.5399999999999991</v>
      </c>
      <c r="G14" s="1">
        <f t="shared" si="0"/>
        <v>11.849397590361445</v>
      </c>
      <c r="I14" s="1">
        <v>75</v>
      </c>
      <c r="J14" s="1">
        <v>7.4340999999999999</v>
      </c>
      <c r="K14" s="1">
        <v>39.576000000000001</v>
      </c>
      <c r="L14">
        <f t="shared" si="1"/>
        <v>0.18784364261168385</v>
      </c>
      <c r="M14">
        <f t="shared" si="2"/>
        <v>0.57270657240295519</v>
      </c>
      <c r="N14">
        <f t="shared" si="3"/>
        <v>0.98088084285013344</v>
      </c>
      <c r="O14">
        <f t="shared" si="4"/>
        <v>0.98348299265149242</v>
      </c>
      <c r="P14">
        <f t="shared" si="5"/>
        <v>0.99735414865249117</v>
      </c>
      <c r="Q14">
        <f t="shared" si="6"/>
        <v>0.19099836399331435</v>
      </c>
      <c r="R14">
        <f t="shared" si="7"/>
        <v>0.57589487776782589</v>
      </c>
      <c r="S14">
        <f t="shared" si="8"/>
        <v>86.849397590361448</v>
      </c>
      <c r="T14">
        <f t="shared" si="9"/>
        <v>0.20207221923880692</v>
      </c>
      <c r="U14">
        <f t="shared" si="10"/>
        <v>202.07221923880692</v>
      </c>
    </row>
    <row r="15" spans="1:22">
      <c r="E15" s="1">
        <v>8.1575000000000006</v>
      </c>
      <c r="F15" s="1">
        <v>9.5399999999999991</v>
      </c>
      <c r="G15" s="1">
        <f t="shared" si="0"/>
        <v>11.849397590361445</v>
      </c>
      <c r="I15" s="1">
        <v>80</v>
      </c>
      <c r="J15" s="1">
        <v>8.3020999999999994</v>
      </c>
      <c r="K15" s="1">
        <v>37.210099999999997</v>
      </c>
      <c r="L15">
        <f t="shared" si="1"/>
        <v>0.2231141544903131</v>
      </c>
      <c r="M15">
        <f t="shared" si="2"/>
        <v>0.60651615673597981</v>
      </c>
      <c r="N15">
        <f t="shared" si="3"/>
        <v>0.98089624524249996</v>
      </c>
      <c r="O15">
        <f t="shared" si="4"/>
        <v>0.98379951022368151</v>
      </c>
      <c r="P15">
        <f t="shared" si="5"/>
        <v>0.99704892617752838</v>
      </c>
      <c r="Q15">
        <f t="shared" si="6"/>
        <v>0.22678823497237233</v>
      </c>
      <c r="R15">
        <f t="shared" si="7"/>
        <v>0.60982726899368001</v>
      </c>
      <c r="S15">
        <f t="shared" si="8"/>
        <v>91.849397590361448</v>
      </c>
      <c r="T15">
        <f t="shared" si="9"/>
        <v>0.2005638612757831</v>
      </c>
      <c r="U15">
        <f t="shared" si="10"/>
        <v>200.5638612757831</v>
      </c>
    </row>
    <row r="16" spans="1:22">
      <c r="E16" s="1">
        <v>8.1575000000000006</v>
      </c>
      <c r="F16" s="1">
        <v>9.5399999999999991</v>
      </c>
      <c r="G16" s="1">
        <f t="shared" si="0"/>
        <v>11.849397590361445</v>
      </c>
      <c r="I16" s="1">
        <v>85</v>
      </c>
      <c r="J16" s="1">
        <v>8.9326000000000008</v>
      </c>
      <c r="K16" s="1">
        <v>34.551000000000002</v>
      </c>
      <c r="L16">
        <f t="shared" si="1"/>
        <v>0.25853376168562414</v>
      </c>
      <c r="M16">
        <f t="shared" si="2"/>
        <v>0.63704838895276383</v>
      </c>
      <c r="N16">
        <f t="shared" si="3"/>
        <v>0.98155862566394458</v>
      </c>
      <c r="O16">
        <f t="shared" si="4"/>
        <v>0.98454311436927389</v>
      </c>
      <c r="P16">
        <f t="shared" si="5"/>
        <v>0.9969686561596226</v>
      </c>
      <c r="Q16">
        <f t="shared" si="6"/>
        <v>0.26259262587118715</v>
      </c>
      <c r="R16">
        <f t="shared" si="7"/>
        <v>0.64036488459662266</v>
      </c>
      <c r="S16">
        <f t="shared" si="8"/>
        <v>96.849397590361448</v>
      </c>
      <c r="T16">
        <f t="shared" si="9"/>
        <v>0.19001453194022172</v>
      </c>
      <c r="U16">
        <f t="shared" si="10"/>
        <v>190.01453194022173</v>
      </c>
    </row>
    <row r="17" spans="5:21">
      <c r="E17" s="1">
        <v>8.1575000000000006</v>
      </c>
      <c r="F17" s="1">
        <v>9.5399999999999991</v>
      </c>
      <c r="G17" s="1">
        <f t="shared" si="0"/>
        <v>11.849397590361445</v>
      </c>
      <c r="I17" s="1">
        <v>90</v>
      </c>
      <c r="J17" s="1">
        <v>9.9125999999999994</v>
      </c>
      <c r="K17" s="1">
        <v>31.521999999999998</v>
      </c>
      <c r="L17">
        <f t="shared" si="1"/>
        <v>0.31446608717720959</v>
      </c>
      <c r="M17">
        <f t="shared" si="2"/>
        <v>0.68002457176002096</v>
      </c>
      <c r="N17">
        <f t="shared" si="3"/>
        <v>0.98138630328666665</v>
      </c>
      <c r="O17">
        <f t="shared" si="4"/>
        <v>0.98458498196074384</v>
      </c>
      <c r="P17">
        <f t="shared" si="5"/>
        <v>0.99675124165746753</v>
      </c>
      <c r="Q17">
        <f t="shared" si="6"/>
        <v>0.3193894818007163</v>
      </c>
      <c r="R17">
        <f t="shared" si="7"/>
        <v>0.68355511364536081</v>
      </c>
      <c r="S17">
        <f t="shared" si="8"/>
        <v>101.84939759036145</v>
      </c>
      <c r="T17">
        <f t="shared" si="9"/>
        <v>0.18289144612591809</v>
      </c>
      <c r="U17">
        <f t="shared" si="10"/>
        <v>182.89144612591809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9D5A-B3C3-47BC-95E6-28C732528728}">
  <dimension ref="A1:V17"/>
  <sheetViews>
    <sheetView topLeftCell="K1" workbookViewId="0">
      <selection activeCell="V5" sqref="V5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6" width="12.33203125" bestFit="1" customWidth="1"/>
    <col min="17" max="17" width="11.25" bestFit="1" customWidth="1"/>
    <col min="18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88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87</v>
      </c>
      <c r="B2" s="2">
        <v>3.8833000000000002</v>
      </c>
      <c r="C2" s="2">
        <v>25.02</v>
      </c>
      <c r="D2" s="2">
        <v>45</v>
      </c>
      <c r="E2" s="2">
        <v>8.2917000000000005</v>
      </c>
      <c r="F2" s="2">
        <v>9.5299999999999994</v>
      </c>
      <c r="G2" s="2">
        <f>0.05551/0.00689</f>
        <v>8.0566037735849054</v>
      </c>
      <c r="H2" s="2" t="s">
        <v>9</v>
      </c>
      <c r="I2" s="2">
        <v>45</v>
      </c>
      <c r="J2" s="2">
        <v>2.9369000000000001</v>
      </c>
      <c r="K2" s="2">
        <v>59.7607</v>
      </c>
      <c r="L2" s="3">
        <f>J2:J25/K2:K25</f>
        <v>4.9144337332059362E-2</v>
      </c>
      <c r="M2" s="3">
        <f>(L2:L25)^(1/3)</f>
        <v>0.36628952111318513</v>
      </c>
      <c r="N2" s="3">
        <f>1-((3/10)*(J2:J25/I2:I25)^2)-((3/2)*((J2:J25*E2)/(I2:I25)^2))</f>
        <v>0.98068372588740749</v>
      </c>
      <c r="O2" s="3">
        <f>1-(F2/I2:I25)^3-((9/8)*(1-(F2/I2:I25)^2)*((J2:J25*E2)/I2:I25^2))-((9/35)*(J2:J25/I2:I25)^2)</f>
        <v>0.97648445254703864</v>
      </c>
      <c r="P2" s="3">
        <f>N2:N25/O2:O25</f>
        <v>1.004300399591018</v>
      </c>
      <c r="Q2" s="3">
        <f>L2:L25/O2:O25</f>
        <v>5.0327823657481133E-2</v>
      </c>
      <c r="R2" s="3">
        <f>Q2:Q25^(1/3)</f>
        <v>0.36920653840218831</v>
      </c>
      <c r="S2" s="3">
        <f>I2:I25+G2</f>
        <v>53.056603773584904</v>
      </c>
      <c r="T2" s="3">
        <f>(P2:P25*3*K2:K25*J2:J25)/(2*25.02*S2:S25)</f>
        <v>0.19917415236653435</v>
      </c>
      <c r="U2" s="3">
        <f>T2:T25*1000</f>
        <v>199.17415236653434</v>
      </c>
      <c r="V2">
        <f>AVERAGE(U3:U17)</f>
        <v>207.10999057186112</v>
      </c>
    </row>
    <row r="3" spans="1:22">
      <c r="E3" s="1">
        <v>8.2917000000000005</v>
      </c>
      <c r="F3" s="1">
        <v>9.5299999999999994</v>
      </c>
      <c r="G3" s="1">
        <f t="shared" ref="G3:G17" si="0">0.05551/0.00689</f>
        <v>8.0566037735849054</v>
      </c>
      <c r="I3" s="1">
        <v>46</v>
      </c>
      <c r="J3" s="1">
        <v>3.0583</v>
      </c>
      <c r="K3" s="1">
        <v>59.895099999999999</v>
      </c>
      <c r="L3">
        <f t="shared" ref="L3:L17" si="1">J3:J26/K3:K26</f>
        <v>5.1060938206965181E-2</v>
      </c>
      <c r="M3">
        <f t="shared" ref="M3:M17" si="2">(L3:L26)^(1/3)</f>
        <v>0.37099062079142092</v>
      </c>
      <c r="N3">
        <f t="shared" ref="N3:N17" si="3">1-((3/10)*(J3:J26/I3:I26)^2)-((3/2)*((J3:J26*E3)/(I3:I26)^2))</f>
        <v>0.98069767541020791</v>
      </c>
      <c r="O3">
        <f t="shared" ref="O3:O17" si="4">1-(F3/I3:I26)^3-((9/8)*(1-(F3/I3:I26)^2)*((J3:J26*E3)/I3:I26^2))-((9/35)*(J3:J26/I3:I26)^2)</f>
        <v>0.97706772965965061</v>
      </c>
      <c r="P3">
        <f t="shared" ref="P3:P17" si="5">N3:N26/O3:O26</f>
        <v>1.0037151424004371</v>
      </c>
      <c r="Q3">
        <f t="shared" ref="Q3:Q17" si="6">L3:L26/O3:O26</f>
        <v>5.2259364071671491E-2</v>
      </c>
      <c r="R3">
        <f t="shared" ref="R3:R17" si="7">Q3:Q26^(1/3)</f>
        <v>0.37387065043635387</v>
      </c>
      <c r="S3">
        <f t="shared" ref="S3:S17" si="8">I3:I26+G3</f>
        <v>54.056603773584904</v>
      </c>
      <c r="T3">
        <f t="shared" ref="T3:T17" si="9">(P3:P26*3*K3:K26*J3:J26)/(2*25.02*S3:S26)</f>
        <v>0.20390930865104243</v>
      </c>
      <c r="U3">
        <f t="shared" ref="U3:U17" si="10">T3:T26*1000</f>
        <v>203.90930865104244</v>
      </c>
    </row>
    <row r="4" spans="1:22">
      <c r="E4" s="1">
        <v>8.2917000000000005</v>
      </c>
      <c r="F4" s="1">
        <v>9.5299999999999994</v>
      </c>
      <c r="G4" s="1">
        <f t="shared" si="0"/>
        <v>8.0566037735849054</v>
      </c>
      <c r="I4" s="1">
        <v>47</v>
      </c>
      <c r="J4" s="1">
        <v>3.2149000000000001</v>
      </c>
      <c r="K4" s="1">
        <v>58.317700000000002</v>
      </c>
      <c r="L4">
        <f t="shared" si="1"/>
        <v>5.5127345557180754E-2</v>
      </c>
      <c r="M4">
        <f t="shared" si="2"/>
        <v>0.38058852838523105</v>
      </c>
      <c r="N4">
        <f t="shared" si="3"/>
        <v>0.98049517695880484</v>
      </c>
      <c r="O4">
        <f t="shared" si="4"/>
        <v>0.97744262372266466</v>
      </c>
      <c r="P4">
        <f t="shared" si="5"/>
        <v>1.0031229999204601</v>
      </c>
      <c r="Q4">
        <f t="shared" si="6"/>
        <v>5.6399571922926856E-2</v>
      </c>
      <c r="R4">
        <f t="shared" si="7"/>
        <v>0.38349402562768103</v>
      </c>
      <c r="S4">
        <f t="shared" si="8"/>
        <v>55.056603773584904</v>
      </c>
      <c r="T4">
        <f t="shared" si="9"/>
        <v>0.20479369413813395</v>
      </c>
      <c r="U4">
        <f t="shared" si="10"/>
        <v>204.79369413813396</v>
      </c>
    </row>
    <row r="5" spans="1:22">
      <c r="E5" s="1">
        <v>8.2917000000000005</v>
      </c>
      <c r="F5" s="1">
        <v>9.5299999999999994</v>
      </c>
      <c r="G5" s="1">
        <f t="shared" si="0"/>
        <v>8.0566037735849054</v>
      </c>
      <c r="I5" s="1">
        <v>48</v>
      </c>
      <c r="J5" s="1">
        <v>3.2692999999999999</v>
      </c>
      <c r="K5" s="1">
        <v>57.571399999999997</v>
      </c>
      <c r="L5">
        <f t="shared" si="1"/>
        <v>5.6786876817308596E-2</v>
      </c>
      <c r="M5">
        <f t="shared" si="2"/>
        <v>0.38436986214059943</v>
      </c>
      <c r="N5">
        <f t="shared" si="3"/>
        <v>0.98095981815885414</v>
      </c>
      <c r="O5">
        <f t="shared" si="4"/>
        <v>0.97826624017580743</v>
      </c>
      <c r="P5">
        <f t="shared" si="5"/>
        <v>1.0027534201553991</v>
      </c>
      <c r="Q5">
        <f t="shared" si="6"/>
        <v>5.8048488729513181E-2</v>
      </c>
      <c r="R5">
        <f t="shared" si="7"/>
        <v>0.38719550406845099</v>
      </c>
      <c r="S5">
        <f t="shared" si="8"/>
        <v>56.056603773584904</v>
      </c>
      <c r="T5">
        <f t="shared" si="9"/>
        <v>0.20185192174399605</v>
      </c>
      <c r="U5">
        <f t="shared" si="10"/>
        <v>201.85192174399606</v>
      </c>
    </row>
    <row r="6" spans="1:22">
      <c r="E6" s="1">
        <v>8.2917000000000005</v>
      </c>
      <c r="F6" s="1">
        <v>9.5299999999999994</v>
      </c>
      <c r="G6" s="1">
        <f t="shared" si="0"/>
        <v>8.0566037735849054</v>
      </c>
      <c r="I6" s="1">
        <v>49</v>
      </c>
      <c r="J6" s="1">
        <v>3.3662999999999998</v>
      </c>
      <c r="K6" s="1">
        <v>56.730400000000003</v>
      </c>
      <c r="L6">
        <f t="shared" si="1"/>
        <v>5.9338555695006553E-2</v>
      </c>
      <c r="M6">
        <f t="shared" si="2"/>
        <v>0.39004285239190162</v>
      </c>
      <c r="N6">
        <f t="shared" si="3"/>
        <v>0.98114614024489788</v>
      </c>
      <c r="O6">
        <f t="shared" si="4"/>
        <v>0.97884578491739249</v>
      </c>
      <c r="P6">
        <f t="shared" si="5"/>
        <v>1.0023500691967524</v>
      </c>
      <c r="Q6">
        <f t="shared" si="6"/>
        <v>6.0620944186845833E-2</v>
      </c>
      <c r="R6">
        <f t="shared" si="7"/>
        <v>0.39283263983239469</v>
      </c>
      <c r="S6">
        <f t="shared" si="8"/>
        <v>57.056603773584904</v>
      </c>
      <c r="T6">
        <f t="shared" si="9"/>
        <v>0.20113429333772839</v>
      </c>
      <c r="U6">
        <f t="shared" si="10"/>
        <v>201.13429333772839</v>
      </c>
    </row>
    <row r="7" spans="1:22">
      <c r="E7" s="1">
        <v>8.2917000000000005</v>
      </c>
      <c r="F7" s="1">
        <v>9.5299999999999994</v>
      </c>
      <c r="G7" s="1">
        <f t="shared" si="0"/>
        <v>8.0566037735849054</v>
      </c>
      <c r="I7" s="1">
        <v>50</v>
      </c>
      <c r="J7" s="1">
        <v>3.4668000000000001</v>
      </c>
      <c r="K7" s="1">
        <v>56.767099999999999</v>
      </c>
      <c r="L7">
        <f t="shared" si="1"/>
        <v>6.1070584898647286E-2</v>
      </c>
      <c r="M7">
        <f t="shared" si="2"/>
        <v>0.3938014943491589</v>
      </c>
      <c r="N7">
        <f t="shared" si="3"/>
        <v>0.98131035639519992</v>
      </c>
      <c r="O7">
        <f t="shared" si="4"/>
        <v>0.97937398300784928</v>
      </c>
      <c r="P7">
        <f t="shared" si="5"/>
        <v>1.0019771542035492</v>
      </c>
      <c r="Q7">
        <f t="shared" si="6"/>
        <v>6.2356756416060352E-2</v>
      </c>
      <c r="R7">
        <f t="shared" si="7"/>
        <v>0.39654685105641035</v>
      </c>
      <c r="S7">
        <f t="shared" si="8"/>
        <v>58.056603773584904</v>
      </c>
      <c r="T7">
        <f t="shared" si="9"/>
        <v>0.20362713123253112</v>
      </c>
      <c r="U7">
        <f t="shared" si="10"/>
        <v>203.62713123253113</v>
      </c>
    </row>
    <row r="8" spans="1:22">
      <c r="E8" s="1">
        <v>8.2917000000000005</v>
      </c>
      <c r="F8" s="1">
        <v>9.5299999999999994</v>
      </c>
      <c r="G8" s="1">
        <f t="shared" si="0"/>
        <v>8.0566037735849054</v>
      </c>
      <c r="I8" s="1">
        <v>51</v>
      </c>
      <c r="J8" s="1">
        <v>3.6597</v>
      </c>
      <c r="K8" s="1">
        <v>57.282200000000003</v>
      </c>
      <c r="L8">
        <f t="shared" si="1"/>
        <v>6.3888956778894668E-2</v>
      </c>
      <c r="M8">
        <f t="shared" si="2"/>
        <v>0.39976852603137353</v>
      </c>
      <c r="N8">
        <f t="shared" si="3"/>
        <v>0.98095512381314887</v>
      </c>
      <c r="O8">
        <f t="shared" si="4"/>
        <v>0.97948431080872489</v>
      </c>
      <c r="P8">
        <f t="shared" si="5"/>
        <v>1.001501619768886</v>
      </c>
      <c r="Q8">
        <f t="shared" si="6"/>
        <v>6.5227136436870392E-2</v>
      </c>
      <c r="R8">
        <f t="shared" si="7"/>
        <v>0.40254036643492636</v>
      </c>
      <c r="S8">
        <f t="shared" si="8"/>
        <v>59.056603773584904</v>
      </c>
      <c r="T8">
        <f t="shared" si="9"/>
        <v>0.21313379458715631</v>
      </c>
      <c r="U8">
        <f t="shared" si="10"/>
        <v>213.1337945871563</v>
      </c>
    </row>
    <row r="9" spans="1:22">
      <c r="E9" s="1">
        <v>8.2917000000000005</v>
      </c>
      <c r="F9" s="1">
        <v>9.5299999999999994</v>
      </c>
      <c r="G9" s="1">
        <f t="shared" si="0"/>
        <v>8.0566037735849054</v>
      </c>
      <c r="I9" s="1">
        <v>52</v>
      </c>
      <c r="J9" s="1">
        <v>3.8591000000000002</v>
      </c>
      <c r="K9" s="1">
        <v>56.1295</v>
      </c>
      <c r="L9">
        <f t="shared" si="1"/>
        <v>6.8753507513874171E-2</v>
      </c>
      <c r="M9">
        <f t="shared" si="2"/>
        <v>0.40966760192299817</v>
      </c>
      <c r="N9">
        <f t="shared" si="3"/>
        <v>0.98059706174260353</v>
      </c>
      <c r="O9">
        <f t="shared" si="4"/>
        <v>0.97956234083448357</v>
      </c>
      <c r="P9">
        <f t="shared" si="5"/>
        <v>1.0010563093996023</v>
      </c>
      <c r="Q9">
        <f t="shared" si="6"/>
        <v>7.0187985641938261E-2</v>
      </c>
      <c r="R9">
        <f t="shared" si="7"/>
        <v>0.41249712520445381</v>
      </c>
      <c r="S9">
        <f t="shared" si="8"/>
        <v>60.056603773584904</v>
      </c>
      <c r="T9">
        <f t="shared" si="9"/>
        <v>0.21646061995159435</v>
      </c>
      <c r="U9">
        <f t="shared" si="10"/>
        <v>216.46061995159434</v>
      </c>
    </row>
    <row r="10" spans="1:22">
      <c r="E10" s="1">
        <v>8.2917000000000005</v>
      </c>
      <c r="F10" s="1">
        <v>9.5299999999999994</v>
      </c>
      <c r="G10" s="1">
        <f t="shared" si="0"/>
        <v>8.0566037735849054</v>
      </c>
      <c r="I10" s="1">
        <v>55</v>
      </c>
      <c r="J10" s="1">
        <v>4.2343000000000002</v>
      </c>
      <c r="K10" s="1">
        <v>52.28</v>
      </c>
      <c r="L10">
        <f t="shared" si="1"/>
        <v>8.0992731446059674E-2</v>
      </c>
      <c r="M10">
        <f t="shared" si="2"/>
        <v>0.43266192864484015</v>
      </c>
      <c r="N10">
        <f t="shared" si="3"/>
        <v>0.98081219606214876</v>
      </c>
      <c r="O10">
        <f t="shared" si="4"/>
        <v>0.98060841615817029</v>
      </c>
      <c r="P10">
        <f t="shared" si="5"/>
        <v>1.0002078096624714</v>
      </c>
      <c r="Q10">
        <f t="shared" si="6"/>
        <v>8.2594367039366401E-2</v>
      </c>
      <c r="R10">
        <f t="shared" si="7"/>
        <v>0.43549530412154813</v>
      </c>
      <c r="S10">
        <f t="shared" si="8"/>
        <v>63.056603773584904</v>
      </c>
      <c r="T10">
        <f t="shared" si="9"/>
        <v>0.21051392194963842</v>
      </c>
      <c r="U10">
        <f t="shared" si="10"/>
        <v>210.51392194963842</v>
      </c>
    </row>
    <row r="11" spans="1:22">
      <c r="E11" s="1">
        <v>8.2917000000000005</v>
      </c>
      <c r="F11" s="1">
        <v>9.5299999999999994</v>
      </c>
      <c r="G11" s="1">
        <f t="shared" si="0"/>
        <v>8.0566037735849054</v>
      </c>
      <c r="I11" s="1">
        <v>60</v>
      </c>
      <c r="J11" s="1">
        <v>4.8916000000000004</v>
      </c>
      <c r="K11" s="1">
        <v>47.3401</v>
      </c>
      <c r="L11">
        <f t="shared" si="1"/>
        <v>0.10332889030652662</v>
      </c>
      <c r="M11">
        <f t="shared" si="2"/>
        <v>0.4692532131874701</v>
      </c>
      <c r="N11">
        <f t="shared" si="3"/>
        <v>0.98110615423666669</v>
      </c>
      <c r="O11">
        <f t="shared" si="4"/>
        <v>0.98192868602920269</v>
      </c>
      <c r="P11">
        <f t="shared" si="5"/>
        <v>0.99916233041743363</v>
      </c>
      <c r="Q11">
        <f t="shared" si="6"/>
        <v>0.10523054451578941</v>
      </c>
      <c r="R11">
        <f t="shared" si="7"/>
        <v>0.47211442768723394</v>
      </c>
      <c r="S11">
        <f t="shared" si="8"/>
        <v>68.056603773584911</v>
      </c>
      <c r="T11">
        <f t="shared" si="9"/>
        <v>0.20382142826774594</v>
      </c>
      <c r="U11">
        <f t="shared" si="10"/>
        <v>203.82142826774594</v>
      </c>
    </row>
    <row r="12" spans="1:22">
      <c r="E12" s="1">
        <v>8.2917000000000005</v>
      </c>
      <c r="F12" s="1">
        <v>9.5299999999999994</v>
      </c>
      <c r="G12" s="1">
        <f t="shared" si="0"/>
        <v>8.0566037735849054</v>
      </c>
      <c r="I12" s="1">
        <v>65</v>
      </c>
      <c r="J12" s="1">
        <v>5.6162999999999998</v>
      </c>
      <c r="K12" s="1">
        <v>44.636800000000001</v>
      </c>
      <c r="L12">
        <f t="shared" si="1"/>
        <v>0.12582219155495017</v>
      </c>
      <c r="M12">
        <f t="shared" si="2"/>
        <v>0.50109386059946059</v>
      </c>
      <c r="N12">
        <f t="shared" si="3"/>
        <v>0.98122701543857993</v>
      </c>
      <c r="O12">
        <f t="shared" si="4"/>
        <v>0.98279518613653105</v>
      </c>
      <c r="P12">
        <f t="shared" si="5"/>
        <v>0.99840437690368045</v>
      </c>
      <c r="Q12">
        <f t="shared" si="6"/>
        <v>0.12802483501121953</v>
      </c>
      <c r="R12">
        <f t="shared" si="7"/>
        <v>0.50400101175998324</v>
      </c>
      <c r="S12">
        <f t="shared" si="8"/>
        <v>73.056603773584911</v>
      </c>
      <c r="T12">
        <f t="shared" si="9"/>
        <v>0.20539709715778559</v>
      </c>
      <c r="U12">
        <f t="shared" si="10"/>
        <v>205.39709715778559</v>
      </c>
    </row>
    <row r="13" spans="1:22">
      <c r="E13" s="1">
        <v>8.2917000000000005</v>
      </c>
      <c r="F13" s="1">
        <v>9.5299999999999994</v>
      </c>
      <c r="G13" s="1">
        <f t="shared" si="0"/>
        <v>8.0566037735849054</v>
      </c>
      <c r="I13" s="1">
        <v>70</v>
      </c>
      <c r="J13" s="1">
        <v>6.3571</v>
      </c>
      <c r="K13" s="1">
        <v>42.241900000000001</v>
      </c>
      <c r="L13">
        <f t="shared" si="1"/>
        <v>0.15049275719131952</v>
      </c>
      <c r="M13">
        <f t="shared" si="2"/>
        <v>0.53191046271343767</v>
      </c>
      <c r="N13">
        <f t="shared" si="3"/>
        <v>0.9813896805657143</v>
      </c>
      <c r="O13">
        <f t="shared" si="4"/>
        <v>0.98347808129603775</v>
      </c>
      <c r="P13">
        <f t="shared" si="5"/>
        <v>0.99787651522688603</v>
      </c>
      <c r="Q13">
        <f t="shared" si="6"/>
        <v>0.15302095700292434</v>
      </c>
      <c r="R13">
        <f t="shared" si="7"/>
        <v>0.53487254308247389</v>
      </c>
      <c r="S13">
        <f t="shared" si="8"/>
        <v>78.056603773584911</v>
      </c>
      <c r="T13">
        <f t="shared" si="9"/>
        <v>0.20581337355449814</v>
      </c>
      <c r="U13">
        <f t="shared" si="10"/>
        <v>205.81337355449813</v>
      </c>
    </row>
    <row r="14" spans="1:22">
      <c r="E14" s="1">
        <v>8.2917000000000005</v>
      </c>
      <c r="F14" s="1">
        <v>9.5299999999999994</v>
      </c>
      <c r="G14" s="1">
        <f t="shared" si="0"/>
        <v>8.0566037735849054</v>
      </c>
      <c r="I14" s="1">
        <v>75</v>
      </c>
      <c r="J14" s="1">
        <v>7.3174000000000001</v>
      </c>
      <c r="K14" s="1">
        <v>39.662599999999998</v>
      </c>
      <c r="L14">
        <f t="shared" si="1"/>
        <v>0.18449118312969903</v>
      </c>
      <c r="M14">
        <f t="shared" si="2"/>
        <v>0.56927905479780994</v>
      </c>
      <c r="N14">
        <f t="shared" si="3"/>
        <v>0.98096465223146667</v>
      </c>
      <c r="O14">
        <f t="shared" si="4"/>
        <v>0.98356183771748062</v>
      </c>
      <c r="P14">
        <f t="shared" si="5"/>
        <v>0.99735940803473921</v>
      </c>
      <c r="Q14">
        <f t="shared" si="6"/>
        <v>0.18757456425702893</v>
      </c>
      <c r="R14">
        <f t="shared" si="7"/>
        <v>0.57243298212554616</v>
      </c>
      <c r="S14">
        <f t="shared" si="8"/>
        <v>83.056603773584911</v>
      </c>
      <c r="T14">
        <f t="shared" si="9"/>
        <v>0.20893897022723101</v>
      </c>
      <c r="U14">
        <f t="shared" si="10"/>
        <v>208.93897022723101</v>
      </c>
    </row>
    <row r="15" spans="1:22">
      <c r="E15" s="1">
        <v>8.2917000000000005</v>
      </c>
      <c r="F15" s="1">
        <v>9.5299999999999994</v>
      </c>
      <c r="G15" s="1">
        <f t="shared" si="0"/>
        <v>8.0566037735849054</v>
      </c>
      <c r="I15" s="1">
        <v>80</v>
      </c>
      <c r="J15" s="1">
        <v>8.3216999999999999</v>
      </c>
      <c r="K15" s="1">
        <v>37.984400000000001</v>
      </c>
      <c r="L15">
        <f t="shared" si="1"/>
        <v>0.21908204420762206</v>
      </c>
      <c r="M15">
        <f t="shared" si="2"/>
        <v>0.60284027812123797</v>
      </c>
      <c r="N15">
        <f t="shared" si="3"/>
        <v>0.98058175514031254</v>
      </c>
      <c r="O15">
        <f t="shared" si="4"/>
        <v>0.98357016323121227</v>
      </c>
      <c r="P15">
        <f t="shared" si="5"/>
        <v>0.99696167268730251</v>
      </c>
      <c r="Q15">
        <f t="shared" si="6"/>
        <v>0.22274165321149689</v>
      </c>
      <c r="R15">
        <f t="shared" si="7"/>
        <v>0.60617843142170713</v>
      </c>
      <c r="S15">
        <f t="shared" si="8"/>
        <v>88.056603773584911</v>
      </c>
      <c r="T15">
        <f t="shared" si="9"/>
        <v>0.21455459052279274</v>
      </c>
      <c r="U15">
        <f t="shared" si="10"/>
        <v>214.55459052279275</v>
      </c>
    </row>
    <row r="16" spans="1:22">
      <c r="E16" s="1">
        <v>8.2917000000000005</v>
      </c>
      <c r="F16" s="1">
        <v>9.5299999999999994</v>
      </c>
      <c r="G16" s="1">
        <f t="shared" si="0"/>
        <v>8.0566037735849054</v>
      </c>
      <c r="I16" s="1">
        <v>85</v>
      </c>
      <c r="J16" s="1">
        <v>9.1245999999999992</v>
      </c>
      <c r="K16" s="1">
        <v>35.685200000000002</v>
      </c>
      <c r="L16">
        <f t="shared" si="1"/>
        <v>0.25569703966910651</v>
      </c>
      <c r="M16">
        <f t="shared" si="2"/>
        <v>0.63470984298220534</v>
      </c>
      <c r="N16">
        <f t="shared" si="3"/>
        <v>0.98083527110339108</v>
      </c>
      <c r="O16">
        <f t="shared" si="4"/>
        <v>0.98399477860817186</v>
      </c>
      <c r="P16">
        <f t="shared" si="5"/>
        <v>0.99678910135148302</v>
      </c>
      <c r="Q16">
        <f t="shared" si="6"/>
        <v>0.25985609398332532</v>
      </c>
      <c r="R16">
        <f t="shared" si="7"/>
        <v>0.63813265420942733</v>
      </c>
      <c r="S16">
        <f t="shared" si="8"/>
        <v>93.056603773584911</v>
      </c>
      <c r="T16">
        <f t="shared" si="9"/>
        <v>0.20910383913933886</v>
      </c>
      <c r="U16">
        <f t="shared" si="10"/>
        <v>209.10383913933887</v>
      </c>
    </row>
    <row r="17" spans="5:21">
      <c r="E17" s="1">
        <v>8.2917000000000005</v>
      </c>
      <c r="F17" s="1">
        <v>9.5299999999999994</v>
      </c>
      <c r="G17" s="1">
        <f t="shared" si="0"/>
        <v>8.0566037735849054</v>
      </c>
      <c r="I17" s="1">
        <v>90</v>
      </c>
      <c r="J17" s="1">
        <v>10.1516</v>
      </c>
      <c r="K17" s="1">
        <v>32.915799999999997</v>
      </c>
      <c r="L17">
        <f t="shared" si="1"/>
        <v>0.30841115816720238</v>
      </c>
      <c r="M17">
        <f t="shared" si="2"/>
        <v>0.67563171454010529</v>
      </c>
      <c r="N17">
        <f t="shared" si="3"/>
        <v>0.98059536699407412</v>
      </c>
      <c r="O17">
        <f t="shared" si="4"/>
        <v>0.98398138530825752</v>
      </c>
      <c r="P17">
        <f t="shared" si="5"/>
        <v>0.99655885938012678</v>
      </c>
      <c r="Q17">
        <f t="shared" si="6"/>
        <v>0.31343190305432928</v>
      </c>
      <c r="R17">
        <f t="shared" si="7"/>
        <v>0.67927828781614374</v>
      </c>
      <c r="S17">
        <f t="shared" si="8"/>
        <v>98.056603773584911</v>
      </c>
      <c r="T17">
        <f t="shared" si="9"/>
        <v>0.20359587411670352</v>
      </c>
      <c r="U17">
        <f t="shared" si="10"/>
        <v>203.59587411670353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2155-463A-4E21-86B0-4380EB6D43F3}">
  <dimension ref="A1:V16"/>
  <sheetViews>
    <sheetView topLeftCell="J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5" width="12.33203125" bestFit="1" customWidth="1"/>
    <col min="16" max="16" width="10.1640625" bestFit="1" customWidth="1"/>
    <col min="17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90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89</v>
      </c>
      <c r="B2" s="2">
        <v>3.8633000000000002</v>
      </c>
      <c r="C2" s="2">
        <v>25.056699999999999</v>
      </c>
      <c r="D2" s="2">
        <v>45</v>
      </c>
      <c r="E2" s="2">
        <v>8.2347000000000001</v>
      </c>
      <c r="F2" s="2">
        <v>9.52</v>
      </c>
      <c r="G2" s="2">
        <f>0.05621/0.00683</f>
        <v>8.2298682284041007</v>
      </c>
      <c r="H2" s="2" t="s">
        <v>9</v>
      </c>
      <c r="I2" s="2">
        <v>46</v>
      </c>
      <c r="J2" s="2">
        <v>2.9510000000000001</v>
      </c>
      <c r="K2" s="2">
        <v>63.472999999999999</v>
      </c>
      <c r="L2" s="3">
        <f>J2:J25/K2:K25</f>
        <v>4.6492209285838075E-2</v>
      </c>
      <c r="M2" s="3">
        <f>(L2:L25)^(1/3)</f>
        <v>0.3595782336498517</v>
      </c>
      <c r="N2" s="3">
        <f>1-((3/10)*(J2:J25/I2:I25)^2)-((3/2)*((J2:J25*E2)/(I2:I25)^2))</f>
        <v>0.98153902653591685</v>
      </c>
      <c r="O2" s="3">
        <f>1-(F2/I2:I25)^3-((9/8)*(1-(F2/I2:I25)^2)*((J2:J25*E2)/I2:I25^2))-((9/35)*(J2:J25/I2:I25)^2)</f>
        <v>0.97771119625994174</v>
      </c>
      <c r="P2" s="3">
        <f>N2:N25/O2:O25</f>
        <v>1.0039150930158289</v>
      </c>
      <c r="Q2" s="3">
        <f>L2:L25/O2:O25</f>
        <v>4.7552088452792254E-2</v>
      </c>
      <c r="R2" s="3">
        <f>Q2:Q25^(1/3)</f>
        <v>0.36229015444800899</v>
      </c>
      <c r="S2" s="3">
        <f>I2:I25+G2</f>
        <v>54.229868228404101</v>
      </c>
      <c r="T2" s="3">
        <f>(P2:P25*3*K2:K25*J2:J25)/(2*25.0567*S2:S25)</f>
        <v>0.20757930570863303</v>
      </c>
      <c r="U2" s="3">
        <f>T2:T25*1000</f>
        <v>207.57930570863303</v>
      </c>
      <c r="V2">
        <f>AVERAGE(U3:U16)</f>
        <v>222.21313396509478</v>
      </c>
    </row>
    <row r="3" spans="1:22">
      <c r="E3" s="1">
        <v>8.2347000000000001</v>
      </c>
      <c r="F3" s="1">
        <v>9.52</v>
      </c>
      <c r="G3" s="1">
        <f t="shared" ref="G3:G16" si="0">0.05621/0.00683</f>
        <v>8.2298682284041007</v>
      </c>
      <c r="I3" s="1">
        <v>47</v>
      </c>
      <c r="J3" s="1">
        <v>3.23</v>
      </c>
      <c r="K3" s="1">
        <v>62.1098</v>
      </c>
      <c r="L3">
        <f t="shared" ref="L3:L16" si="1">J3:J26/K3:K26</f>
        <v>5.2004675590647531E-2</v>
      </c>
      <c r="M3">
        <f t="shared" ref="M3:M16" si="2">(L3:L26)^(1/3)</f>
        <v>0.37326230232994612</v>
      </c>
      <c r="N3">
        <f t="shared" ref="N3:N16" si="3">1-((3/10)*(J3:J26/I3:I26)^2)-((3/2)*((J3:J26*E3)/(I3:I26)^2))</f>
        <v>0.9805219594839294</v>
      </c>
      <c r="O3">
        <f t="shared" ref="O3:O16" si="4">1-(F3/I3:I26)^3-((9/8)*(1-(F3/I3:I26)^2)*((J3:J26*E3)/I3:I26^2))-((9/35)*(J3:J26/I3:I26)^2)</f>
        <v>0.97748510846432635</v>
      </c>
      <c r="P3">
        <f t="shared" ref="P3:P16" si="5">N3:N26/O3:O26</f>
        <v>1.003106800291182</v>
      </c>
      <c r="Q3">
        <f t="shared" ref="Q3:Q16" si="6">L3:L26/O3:O26</f>
        <v>5.320252466285573E-2</v>
      </c>
      <c r="R3">
        <f t="shared" ref="R3:R16" si="7">Q3:Q26^(1/3)</f>
        <v>0.37610642043605169</v>
      </c>
      <c r="S3">
        <f t="shared" ref="S3:S16" si="8">I3:I26+G3</f>
        <v>55.229868228404101</v>
      </c>
      <c r="T3">
        <f t="shared" ref="T3:T16" si="9">(P3:P26*3*K3:K26*J3:J26)/(2*25.0567*S3:S26)</f>
        <v>0.21812387603136377</v>
      </c>
      <c r="U3">
        <f t="shared" ref="U3:U16" si="10">T3:T26*1000</f>
        <v>218.12387603136378</v>
      </c>
    </row>
    <row r="4" spans="1:22">
      <c r="E4" s="1">
        <v>8.2347000000000001</v>
      </c>
      <c r="F4" s="1">
        <v>9.52</v>
      </c>
      <c r="G4" s="1">
        <f t="shared" si="0"/>
        <v>8.2298682284041007</v>
      </c>
      <c r="I4" s="1">
        <v>48</v>
      </c>
      <c r="J4" s="1">
        <v>3.54</v>
      </c>
      <c r="K4" s="1">
        <v>60.893099999999997</v>
      </c>
      <c r="L4">
        <f t="shared" si="1"/>
        <v>5.8134665503973358E-2</v>
      </c>
      <c r="M4">
        <f t="shared" si="2"/>
        <v>0.38738701500469241</v>
      </c>
      <c r="N4">
        <f t="shared" si="3"/>
        <v>0.97938987109374998</v>
      </c>
      <c r="O4">
        <f t="shared" si="4"/>
        <v>0.97712581691231082</v>
      </c>
      <c r="P4">
        <f t="shared" si="5"/>
        <v>1.0023170549199012</v>
      </c>
      <c r="Q4">
        <f t="shared" si="6"/>
        <v>5.9495578253860093E-2</v>
      </c>
      <c r="R4">
        <f t="shared" si="7"/>
        <v>0.39038659507528189</v>
      </c>
      <c r="S4">
        <f t="shared" si="8"/>
        <v>56.229868228404101</v>
      </c>
      <c r="T4">
        <f t="shared" si="9"/>
        <v>0.23002592524499182</v>
      </c>
      <c r="U4">
        <f t="shared" si="10"/>
        <v>230.02592524499181</v>
      </c>
    </row>
    <row r="5" spans="1:22">
      <c r="E5" s="1">
        <v>8.2347000000000001</v>
      </c>
      <c r="F5" s="1">
        <v>9.52</v>
      </c>
      <c r="G5" s="1">
        <f t="shared" si="0"/>
        <v>8.2298682284041007</v>
      </c>
      <c r="I5" s="1">
        <v>49</v>
      </c>
      <c r="J5" s="1">
        <v>3.67</v>
      </c>
      <c r="K5" s="1">
        <v>60.995699999999999</v>
      </c>
      <c r="L5">
        <f t="shared" si="1"/>
        <v>6.0168175789440892E-2</v>
      </c>
      <c r="M5">
        <f t="shared" si="2"/>
        <v>0.39185219288114204</v>
      </c>
      <c r="N5">
        <f t="shared" si="3"/>
        <v>0.97943661245314451</v>
      </c>
      <c r="O5">
        <f t="shared" si="4"/>
        <v>0.9775979665902319</v>
      </c>
      <c r="P5">
        <f t="shared" si="5"/>
        <v>1.0018807791400444</v>
      </c>
      <c r="Q5">
        <f t="shared" si="6"/>
        <v>6.1546952679639597E-2</v>
      </c>
      <c r="R5">
        <f t="shared" si="7"/>
        <v>0.39482276443189185</v>
      </c>
      <c r="S5">
        <f t="shared" si="8"/>
        <v>57.229868228404101</v>
      </c>
      <c r="T5">
        <f t="shared" si="9"/>
        <v>0.23459889849627735</v>
      </c>
      <c r="U5">
        <f t="shared" si="10"/>
        <v>234.59889849627734</v>
      </c>
    </row>
    <row r="6" spans="1:22">
      <c r="E6" s="1">
        <v>8.2347000000000001</v>
      </c>
      <c r="F6" s="1">
        <v>9.52</v>
      </c>
      <c r="G6" s="1">
        <f t="shared" si="0"/>
        <v>8.2298682284041007</v>
      </c>
      <c r="I6" s="1">
        <v>50</v>
      </c>
      <c r="J6" s="1">
        <v>3.77</v>
      </c>
      <c r="K6" s="1">
        <v>61.296399999999998</v>
      </c>
      <c r="L6">
        <f t="shared" si="1"/>
        <v>6.1504427666225096E-2</v>
      </c>
      <c r="M6">
        <f t="shared" si="2"/>
        <v>0.3947318110431331</v>
      </c>
      <c r="N6">
        <f t="shared" si="3"/>
        <v>0.97966756060000004</v>
      </c>
      <c r="O6">
        <f t="shared" si="4"/>
        <v>0.97817197068578721</v>
      </c>
      <c r="P6">
        <f t="shared" si="5"/>
        <v>1.0015289641893586</v>
      </c>
      <c r="Q6">
        <f t="shared" si="6"/>
        <v>6.2876906627272217E-2</v>
      </c>
      <c r="R6">
        <f t="shared" si="7"/>
        <v>0.39764640072797841</v>
      </c>
      <c r="S6">
        <f t="shared" si="8"/>
        <v>58.229868228404101</v>
      </c>
      <c r="T6">
        <f t="shared" si="9"/>
        <v>0.23793668740556387</v>
      </c>
      <c r="U6">
        <f t="shared" si="10"/>
        <v>237.93668740556387</v>
      </c>
    </row>
    <row r="7" spans="1:22">
      <c r="E7" s="1">
        <v>8.2347000000000001</v>
      </c>
      <c r="F7" s="1">
        <v>9.52</v>
      </c>
      <c r="G7" s="1">
        <f t="shared" si="0"/>
        <v>8.2298682284041007</v>
      </c>
      <c r="I7" s="1">
        <v>51</v>
      </c>
      <c r="J7" s="1">
        <v>3.98</v>
      </c>
      <c r="K7" s="1">
        <v>61.220799999999997</v>
      </c>
      <c r="L7">
        <f t="shared" si="1"/>
        <v>6.5010584637900853E-2</v>
      </c>
      <c r="M7">
        <f t="shared" si="2"/>
        <v>0.40209439925193646</v>
      </c>
      <c r="N7">
        <f t="shared" si="3"/>
        <v>0.97927209573241059</v>
      </c>
      <c r="O7">
        <f t="shared" si="4"/>
        <v>0.97824796436918404</v>
      </c>
      <c r="P7">
        <f t="shared" si="5"/>
        <v>1.0010469036486951</v>
      </c>
      <c r="Q7">
        <f t="shared" si="6"/>
        <v>6.6456140984481826E-2</v>
      </c>
      <c r="R7">
        <f t="shared" si="7"/>
        <v>0.40505286305748744</v>
      </c>
      <c r="S7">
        <f t="shared" si="8"/>
        <v>59.229868228404101</v>
      </c>
      <c r="T7">
        <f t="shared" si="9"/>
        <v>0.24652622100973481</v>
      </c>
      <c r="U7">
        <f t="shared" si="10"/>
        <v>246.52622100973483</v>
      </c>
    </row>
    <row r="8" spans="1:22">
      <c r="E8" s="1">
        <v>8.2347000000000001</v>
      </c>
      <c r="F8" s="1">
        <v>9.52</v>
      </c>
      <c r="G8" s="1">
        <f t="shared" si="0"/>
        <v>8.2298682284041007</v>
      </c>
      <c r="I8" s="1">
        <v>52</v>
      </c>
      <c r="J8" s="1">
        <v>4.17</v>
      </c>
      <c r="K8" s="1">
        <v>60.184699999999999</v>
      </c>
      <c r="L8">
        <f t="shared" si="1"/>
        <v>6.9286712403650766E-2</v>
      </c>
      <c r="M8">
        <f t="shared" si="2"/>
        <v>0.4107239092789563</v>
      </c>
      <c r="N8">
        <f t="shared" si="3"/>
        <v>0.97902192363165685</v>
      </c>
      <c r="O8">
        <f t="shared" si="4"/>
        <v>0.97840236688062165</v>
      </c>
      <c r="P8">
        <f t="shared" si="5"/>
        <v>1.0006332330869256</v>
      </c>
      <c r="Q8">
        <f t="shared" si="6"/>
        <v>7.0816174151901543E-2</v>
      </c>
      <c r="R8">
        <f t="shared" si="7"/>
        <v>0.4137241001948524</v>
      </c>
      <c r="S8">
        <f t="shared" si="8"/>
        <v>60.229868228404101</v>
      </c>
      <c r="T8">
        <f t="shared" si="9"/>
        <v>0.24960458024916166</v>
      </c>
      <c r="U8">
        <f t="shared" si="10"/>
        <v>249.60458024916164</v>
      </c>
    </row>
    <row r="9" spans="1:22">
      <c r="E9" s="1">
        <v>8.2347000000000001</v>
      </c>
      <c r="F9" s="1">
        <v>9.52</v>
      </c>
      <c r="G9" s="1">
        <f t="shared" si="0"/>
        <v>8.2298682284041007</v>
      </c>
      <c r="I9" s="1">
        <v>55</v>
      </c>
      <c r="J9" s="1">
        <v>4.4000000000000004</v>
      </c>
      <c r="K9" s="1">
        <v>56.588999999999999</v>
      </c>
      <c r="L9">
        <f t="shared" si="1"/>
        <v>7.775362702998817E-2</v>
      </c>
      <c r="M9">
        <f t="shared" si="2"/>
        <v>0.42681553573960035</v>
      </c>
      <c r="N9">
        <f t="shared" si="3"/>
        <v>0.98011338181818175</v>
      </c>
      <c r="O9">
        <f t="shared" si="4"/>
        <v>0.98009715448026136</v>
      </c>
      <c r="P9">
        <f t="shared" si="5"/>
        <v>1.0000165568666801</v>
      </c>
      <c r="Q9">
        <f t="shared" si="6"/>
        <v>7.9332570933970697E-2</v>
      </c>
      <c r="R9">
        <f t="shared" si="7"/>
        <v>0.4296853131769891</v>
      </c>
      <c r="S9">
        <f t="shared" si="8"/>
        <v>63.229868228404101</v>
      </c>
      <c r="T9">
        <f t="shared" si="9"/>
        <v>0.23574201725351299</v>
      </c>
      <c r="U9">
        <f t="shared" si="10"/>
        <v>235.74201725351298</v>
      </c>
    </row>
    <row r="10" spans="1:22">
      <c r="E10" s="1">
        <v>8.2347000000000001</v>
      </c>
      <c r="F10" s="1">
        <v>9.52</v>
      </c>
      <c r="G10" s="1">
        <f t="shared" si="0"/>
        <v>8.2298682284041007</v>
      </c>
      <c r="I10" s="1">
        <v>60</v>
      </c>
      <c r="J10" s="1">
        <v>4.97</v>
      </c>
      <c r="K10" s="1">
        <v>51.2759</v>
      </c>
      <c r="L10">
        <f t="shared" si="1"/>
        <v>9.6926626348830536E-2</v>
      </c>
      <c r="M10">
        <f t="shared" si="2"/>
        <v>0.45935420777010533</v>
      </c>
      <c r="N10">
        <f t="shared" si="3"/>
        <v>0.98088890041666665</v>
      </c>
      <c r="O10">
        <f t="shared" si="4"/>
        <v>0.98177365814725881</v>
      </c>
      <c r="P10">
        <f t="shared" si="5"/>
        <v>0.9990988169999776</v>
      </c>
      <c r="Q10">
        <f t="shared" si="6"/>
        <v>9.8726040920413718E-2</v>
      </c>
      <c r="R10">
        <f t="shared" si="7"/>
        <v>0.46217938868078873</v>
      </c>
      <c r="S10">
        <f t="shared" si="8"/>
        <v>68.229868228404101</v>
      </c>
      <c r="T10">
        <f t="shared" si="9"/>
        <v>0.22339372949430328</v>
      </c>
      <c r="U10">
        <f t="shared" si="10"/>
        <v>223.39372949430327</v>
      </c>
    </row>
    <row r="11" spans="1:22">
      <c r="E11" s="1">
        <v>8.2347000000000001</v>
      </c>
      <c r="F11" s="1">
        <v>9.52</v>
      </c>
      <c r="G11" s="1">
        <f t="shared" si="0"/>
        <v>8.2298682284041007</v>
      </c>
      <c r="I11" s="1">
        <v>65</v>
      </c>
      <c r="J11" s="1">
        <v>5.68</v>
      </c>
      <c r="K11" s="1">
        <v>46.8596</v>
      </c>
      <c r="L11">
        <f t="shared" si="1"/>
        <v>0.12121315589548352</v>
      </c>
      <c r="M11">
        <f t="shared" si="2"/>
        <v>0.49489901132731512</v>
      </c>
      <c r="N11">
        <f t="shared" si="3"/>
        <v>0.98110334579881653</v>
      </c>
      <c r="O11">
        <f t="shared" si="4"/>
        <v>0.98270747891806731</v>
      </c>
      <c r="P11">
        <f t="shared" si="5"/>
        <v>0.99836763924803251</v>
      </c>
      <c r="Q11">
        <f t="shared" si="6"/>
        <v>0.12334612129841092</v>
      </c>
      <c r="R11">
        <f t="shared" si="7"/>
        <v>0.49778503070907698</v>
      </c>
      <c r="S11">
        <f t="shared" si="8"/>
        <v>73.229868228404101</v>
      </c>
      <c r="T11">
        <f t="shared" si="9"/>
        <v>0.21722836898673864</v>
      </c>
      <c r="U11">
        <f t="shared" si="10"/>
        <v>217.22836898673864</v>
      </c>
    </row>
    <row r="12" spans="1:22">
      <c r="E12" s="1">
        <v>8.2347000000000001</v>
      </c>
      <c r="F12" s="1">
        <v>9.52</v>
      </c>
      <c r="G12" s="1">
        <f t="shared" si="0"/>
        <v>8.2298682284041007</v>
      </c>
      <c r="I12" s="1">
        <v>70</v>
      </c>
      <c r="J12" s="1">
        <v>6.4066000000000001</v>
      </c>
      <c r="K12" s="1">
        <v>43.918300000000002</v>
      </c>
      <c r="L12">
        <f t="shared" si="1"/>
        <v>0.14587540956731021</v>
      </c>
      <c r="M12">
        <f t="shared" si="2"/>
        <v>0.52641391753199573</v>
      </c>
      <c r="N12">
        <f t="shared" si="3"/>
        <v>0.98133714273510209</v>
      </c>
      <c r="O12">
        <f t="shared" si="4"/>
        <v>0.98344219034066571</v>
      </c>
      <c r="P12">
        <f t="shared" si="5"/>
        <v>0.99785951057800926</v>
      </c>
      <c r="Q12">
        <f t="shared" si="6"/>
        <v>0.14833145354154348</v>
      </c>
      <c r="R12">
        <f t="shared" si="7"/>
        <v>0.52935182842398754</v>
      </c>
      <c r="S12">
        <f t="shared" si="8"/>
        <v>78.229868228404101</v>
      </c>
      <c r="T12">
        <f t="shared" si="9"/>
        <v>0.21485096981564003</v>
      </c>
      <c r="U12">
        <f t="shared" si="10"/>
        <v>214.85096981564004</v>
      </c>
    </row>
    <row r="13" spans="1:22">
      <c r="E13" s="1">
        <v>8.2347000000000001</v>
      </c>
      <c r="F13" s="1">
        <v>9.52</v>
      </c>
      <c r="G13" s="1">
        <f t="shared" si="0"/>
        <v>8.2298682284041007</v>
      </c>
      <c r="I13" s="1">
        <v>75</v>
      </c>
      <c r="J13" s="1">
        <v>7.1986999999999997</v>
      </c>
      <c r="K13" s="1">
        <v>41.037399999999998</v>
      </c>
      <c r="L13">
        <f t="shared" si="1"/>
        <v>0.17541803330620362</v>
      </c>
      <c r="M13">
        <f t="shared" si="2"/>
        <v>0.55978949710061721</v>
      </c>
      <c r="N13">
        <f t="shared" si="3"/>
        <v>0.98142842900586669</v>
      </c>
      <c r="O13">
        <f t="shared" si="4"/>
        <v>0.98392106317905637</v>
      </c>
      <c r="P13">
        <f t="shared" si="5"/>
        <v>0.9974666319621861</v>
      </c>
      <c r="Q13">
        <f t="shared" si="6"/>
        <v>0.17828466110830743</v>
      </c>
      <c r="R13">
        <f t="shared" si="7"/>
        <v>0.56282233888614963</v>
      </c>
      <c r="S13">
        <f t="shared" si="8"/>
        <v>83.229868228404101</v>
      </c>
      <c r="T13">
        <f t="shared" si="9"/>
        <v>0.21194367840315906</v>
      </c>
      <c r="U13">
        <f t="shared" si="10"/>
        <v>211.94367840315905</v>
      </c>
    </row>
    <row r="14" spans="1:22">
      <c r="E14" s="1">
        <v>8.2347000000000001</v>
      </c>
      <c r="F14" s="1">
        <v>9.52</v>
      </c>
      <c r="G14" s="1">
        <f t="shared" si="0"/>
        <v>8.2298682284041007</v>
      </c>
      <c r="I14" s="1">
        <v>80</v>
      </c>
      <c r="J14" s="1">
        <v>7.8903999999999996</v>
      </c>
      <c r="K14" s="1">
        <v>37.186999999999998</v>
      </c>
      <c r="L14">
        <f t="shared" si="1"/>
        <v>0.21218167639228763</v>
      </c>
      <c r="M14">
        <f t="shared" si="2"/>
        <v>0.59644347538620768</v>
      </c>
      <c r="N14">
        <f t="shared" si="3"/>
        <v>0.98185310328624997</v>
      </c>
      <c r="O14">
        <f t="shared" si="4"/>
        <v>0.98455372515588435</v>
      </c>
      <c r="P14">
        <f t="shared" si="5"/>
        <v>0.99725700913964166</v>
      </c>
      <c r="Q14">
        <f t="shared" si="6"/>
        <v>0.21551051097662843</v>
      </c>
      <c r="R14">
        <f t="shared" si="7"/>
        <v>0.59954642662786528</v>
      </c>
      <c r="S14">
        <f t="shared" si="8"/>
        <v>88.229868228404101</v>
      </c>
      <c r="T14">
        <f t="shared" si="9"/>
        <v>0.19854045666239717</v>
      </c>
      <c r="U14">
        <f t="shared" si="10"/>
        <v>198.54045666239716</v>
      </c>
    </row>
    <row r="15" spans="1:22">
      <c r="E15" s="1">
        <v>8.2347000000000001</v>
      </c>
      <c r="F15" s="1">
        <v>9.52</v>
      </c>
      <c r="G15" s="1">
        <f t="shared" si="0"/>
        <v>8.2298682284041007</v>
      </c>
      <c r="I15" s="1">
        <v>85</v>
      </c>
      <c r="J15" s="1">
        <v>8.89</v>
      </c>
      <c r="K15" s="1">
        <v>34.488</v>
      </c>
      <c r="L15">
        <f t="shared" si="1"/>
        <v>0.25777081883553704</v>
      </c>
      <c r="M15">
        <f t="shared" si="2"/>
        <v>0.63642112026800768</v>
      </c>
      <c r="N15">
        <f t="shared" si="3"/>
        <v>0.98151981252595155</v>
      </c>
      <c r="O15">
        <f t="shared" si="4"/>
        <v>0.98452631857620698</v>
      </c>
      <c r="P15">
        <f t="shared" si="5"/>
        <v>0.99694624105671104</v>
      </c>
      <c r="Q15">
        <f t="shared" si="6"/>
        <v>0.26182217171026734</v>
      </c>
      <c r="R15">
        <f t="shared" si="7"/>
        <v>0.63973798821607963</v>
      </c>
      <c r="S15">
        <f t="shared" si="8"/>
        <v>93.229868228404101</v>
      </c>
      <c r="T15">
        <f t="shared" si="9"/>
        <v>0.19626995659311178</v>
      </c>
      <c r="U15">
        <f t="shared" si="10"/>
        <v>196.26995659311177</v>
      </c>
    </row>
    <row r="16" spans="1:22">
      <c r="E16" s="1">
        <v>8.2347000000000001</v>
      </c>
      <c r="F16" s="1">
        <v>9.52</v>
      </c>
      <c r="G16" s="1">
        <f t="shared" si="0"/>
        <v>8.2298682284041007</v>
      </c>
      <c r="I16" s="1">
        <v>90</v>
      </c>
      <c r="J16" s="1">
        <v>9.9885000000000002</v>
      </c>
      <c r="K16" s="1">
        <v>32.3386</v>
      </c>
      <c r="L16">
        <f t="shared" si="1"/>
        <v>0.30887236924294809</v>
      </c>
      <c r="M16">
        <f t="shared" si="2"/>
        <v>0.67596833619979657</v>
      </c>
      <c r="N16">
        <f t="shared" si="3"/>
        <v>0.98107290233333333</v>
      </c>
      <c r="O16">
        <f t="shared" si="4"/>
        <v>0.98435304415600411</v>
      </c>
      <c r="P16">
        <f t="shared" si="5"/>
        <v>0.99666771810973243</v>
      </c>
      <c r="Q16">
        <f t="shared" si="6"/>
        <v>0.31378210396837741</v>
      </c>
      <c r="R16">
        <f t="shared" si="7"/>
        <v>0.67953118202076979</v>
      </c>
      <c r="S16">
        <f t="shared" si="8"/>
        <v>98.229868228404101</v>
      </c>
      <c r="T16">
        <f t="shared" si="9"/>
        <v>0.19619850986537071</v>
      </c>
      <c r="U16">
        <f t="shared" si="10"/>
        <v>196.19850986537071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1C9B-C143-4C17-9FB4-8C0E3249FB80}">
  <dimension ref="A1:V17"/>
  <sheetViews>
    <sheetView topLeftCell="P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7.1640625" bestFit="1" customWidth="1"/>
    <col min="6" max="6" width="6.582031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7.91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92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91</v>
      </c>
      <c r="B2" s="2">
        <v>3.88</v>
      </c>
      <c r="C2" s="2">
        <v>25.05</v>
      </c>
      <c r="D2" s="2">
        <v>45</v>
      </c>
      <c r="E2" s="2">
        <v>8.1850000000000005</v>
      </c>
      <c r="F2" s="2">
        <v>9.5225000000000009</v>
      </c>
      <c r="G2" s="2">
        <f>0.05306/0.00702</f>
        <v>7.5584045584045585</v>
      </c>
      <c r="H2" s="2" t="s">
        <v>9</v>
      </c>
      <c r="I2" s="2">
        <v>45</v>
      </c>
      <c r="J2" s="2">
        <v>3.7530000000000001</v>
      </c>
      <c r="K2" s="2">
        <v>60.2682</v>
      </c>
      <c r="L2" s="3">
        <f>J2:J25/K2:K25</f>
        <v>6.2271645743526435E-2</v>
      </c>
      <c r="M2" s="3">
        <f>(L2:L25)^(1/3)</f>
        <v>0.39636635344844817</v>
      </c>
      <c r="N2" s="3">
        <f>1-((3/10)*(J2:J25/I2:I25)^2)-((3/2)*((J2:J25*E2)/(I2:I25)^2))</f>
        <v>0.97515903199999998</v>
      </c>
      <c r="O2" s="3">
        <f>1-(F2/I2:I25)^3-((9/8)*(1-(F2/I2:I25)^2)*((J2:J25*E2)/I2:I25^2))-((9/35)*(J2:J25/I2:I25)^2)</f>
        <v>0.97243410354576054</v>
      </c>
      <c r="P2" s="3">
        <f>N2:N25/O2:O25</f>
        <v>1.0028021728611776</v>
      </c>
      <c r="Q2" s="3">
        <f>L2:L25/O2:O25</f>
        <v>6.4036879739683125E-2</v>
      </c>
      <c r="R2" s="3">
        <f>Q2:Q25^(1/3)</f>
        <v>0.40007681803753486</v>
      </c>
      <c r="S2" s="3">
        <f>I2:I25+G2</f>
        <v>52.558404558404561</v>
      </c>
      <c r="T2" s="3">
        <f>(P2:P25*3*K2:K25*J2:J25)/(2*25.05*S2:S25)</f>
        <v>0.25841838434079489</v>
      </c>
      <c r="U2" s="3">
        <f>T2:T25*1000</f>
        <v>258.41838434079489</v>
      </c>
      <c r="V2">
        <f>AVERAGE(U3:U17)</f>
        <v>222.74215149777868</v>
      </c>
    </row>
    <row r="3" spans="1:22">
      <c r="E3" s="1">
        <v>8.1850000000000005</v>
      </c>
      <c r="F3" s="1">
        <v>9.5225000000000009</v>
      </c>
      <c r="G3" s="1">
        <f t="shared" ref="G3:G17" si="0">0.05306/0.00702</f>
        <v>7.5584045584045585</v>
      </c>
      <c r="I3" s="1">
        <v>46</v>
      </c>
      <c r="J3" s="1">
        <v>3.1713</v>
      </c>
      <c r="K3" s="1">
        <v>60.450299999999999</v>
      </c>
      <c r="L3">
        <f t="shared" ref="L3:L17" si="1">J3:J26/K3:K26</f>
        <v>5.2461278107800956E-2</v>
      </c>
      <c r="M3">
        <f t="shared" ref="M3:M17" si="2">(L3:L26)^(1/3)</f>
        <v>0.37435153852541858</v>
      </c>
      <c r="N3">
        <f t="shared" ref="N3:N17" si="3">1-((3/10)*(J3:J26/I3:I26)^2)-((3/2)*((J3:J26*E3)/(I3:I26)^2))</f>
        <v>0.98017354496361064</v>
      </c>
      <c r="O3">
        <f t="shared" ref="O3:O17" si="4">1-(F3/I3:I26)^3-((9/8)*(1-(F3/I3:I26)^2)*((J3:J26*E3)/I3:I26^2))-((9/35)*(J3:J26/I3:I26)^2)</f>
        <v>0.97669764357443944</v>
      </c>
      <c r="P3">
        <f t="shared" ref="P3:P17" si="5">N3:N26/O3:O26</f>
        <v>1.0035588305265593</v>
      </c>
      <c r="Q3">
        <f t="shared" ref="Q3:Q17" si="6">L3:L26/O3:O26</f>
        <v>5.3712915612048974E-2</v>
      </c>
      <c r="R3">
        <f t="shared" ref="R3:R17" si="7">Q3:Q26^(1/3)</f>
        <v>0.37730530284290725</v>
      </c>
      <c r="S3">
        <f t="shared" ref="S3:S17" si="8">I3:I26+G3</f>
        <v>53.558404558404561</v>
      </c>
      <c r="T3">
        <f t="shared" ref="T3:T17" si="9">(P3:P26*3*K3:K26*J3:J26)/(2*25.05*S3:S26)</f>
        <v>0.21509708369388697</v>
      </c>
      <c r="U3">
        <f t="shared" ref="U3:U17" si="10">T3:T26*1000</f>
        <v>215.09708369388696</v>
      </c>
    </row>
    <row r="4" spans="1:22">
      <c r="E4" s="1">
        <v>8.1850000000000005</v>
      </c>
      <c r="F4" s="1">
        <v>9.5225000000000009</v>
      </c>
      <c r="G4" s="1">
        <f t="shared" si="0"/>
        <v>7.5584045584045585</v>
      </c>
      <c r="I4" s="1">
        <v>47</v>
      </c>
      <c r="J4" s="1">
        <v>3.3096000000000001</v>
      </c>
      <c r="K4" s="1">
        <v>60.186799999999998</v>
      </c>
      <c r="L4">
        <f t="shared" si="1"/>
        <v>5.4988801531232763E-2</v>
      </c>
      <c r="M4">
        <f t="shared" si="2"/>
        <v>0.3802694338730741</v>
      </c>
      <c r="N4">
        <f t="shared" si="3"/>
        <v>0.98011785891896785</v>
      </c>
      <c r="O4">
        <f t="shared" si="4"/>
        <v>0.97717846633187677</v>
      </c>
      <c r="P4">
        <f t="shared" si="5"/>
        <v>1.003008040688949</v>
      </c>
      <c r="Q4">
        <f t="shared" si="6"/>
        <v>5.62730385756956E-2</v>
      </c>
      <c r="R4">
        <f t="shared" si="7"/>
        <v>0.383207019213398</v>
      </c>
      <c r="S4">
        <f t="shared" si="8"/>
        <v>54.558404558404561</v>
      </c>
      <c r="T4">
        <f t="shared" si="9"/>
        <v>0.21928202995946683</v>
      </c>
      <c r="U4">
        <f t="shared" si="10"/>
        <v>219.28202995946683</v>
      </c>
    </row>
    <row r="5" spans="1:22">
      <c r="E5" s="1">
        <v>8.1850000000000005</v>
      </c>
      <c r="F5" s="1">
        <v>9.5225000000000009</v>
      </c>
      <c r="G5" s="1">
        <f t="shared" si="0"/>
        <v>7.5584045584045585</v>
      </c>
      <c r="I5" s="1">
        <v>48</v>
      </c>
      <c r="J5" s="1">
        <v>3.5221</v>
      </c>
      <c r="K5" s="1">
        <v>59.59</v>
      </c>
      <c r="L5">
        <f t="shared" si="1"/>
        <v>5.9105554623258935E-2</v>
      </c>
      <c r="M5">
        <f t="shared" si="2"/>
        <v>0.38953166359712788</v>
      </c>
      <c r="N5">
        <f t="shared" si="3"/>
        <v>0.97961625899609373</v>
      </c>
      <c r="O5">
        <f t="shared" si="4"/>
        <v>0.9772853210488609</v>
      </c>
      <c r="P5">
        <f t="shared" si="5"/>
        <v>1.0023851150703167</v>
      </c>
      <c r="Q5">
        <f t="shared" si="6"/>
        <v>6.0479323029045948E-2</v>
      </c>
      <c r="R5">
        <f t="shared" si="7"/>
        <v>0.39252649265573725</v>
      </c>
      <c r="S5">
        <f t="shared" si="8"/>
        <v>55.558404558404561</v>
      </c>
      <c r="T5">
        <f t="shared" si="9"/>
        <v>0.22674798677012223</v>
      </c>
      <c r="U5">
        <f t="shared" si="10"/>
        <v>226.74798677012222</v>
      </c>
    </row>
    <row r="6" spans="1:22">
      <c r="E6" s="1">
        <v>8.1850000000000005</v>
      </c>
      <c r="F6" s="1">
        <v>9.5225000000000009</v>
      </c>
      <c r="G6" s="1">
        <f t="shared" si="0"/>
        <v>7.5584045584045585</v>
      </c>
      <c r="I6" s="1">
        <v>49</v>
      </c>
      <c r="J6" s="1">
        <v>3.6850999999999998</v>
      </c>
      <c r="K6" s="1">
        <v>59.330500000000001</v>
      </c>
      <c r="L6">
        <f t="shared" si="1"/>
        <v>6.2111392959776163E-2</v>
      </c>
      <c r="M6">
        <f t="shared" si="2"/>
        <v>0.39602605208960262</v>
      </c>
      <c r="N6">
        <f t="shared" si="3"/>
        <v>0.97945947361391084</v>
      </c>
      <c r="O6">
        <f t="shared" si="4"/>
        <v>0.9776070866893467</v>
      </c>
      <c r="P6">
        <f t="shared" si="5"/>
        <v>1.001894817406487</v>
      </c>
      <c r="Q6">
        <f t="shared" si="6"/>
        <v>6.3534106703456453E-2</v>
      </c>
      <c r="R6">
        <f t="shared" si="7"/>
        <v>0.39902702417962221</v>
      </c>
      <c r="S6">
        <f t="shared" si="8"/>
        <v>56.558404558404561</v>
      </c>
      <c r="T6">
        <f t="shared" si="9"/>
        <v>0.23191871428522409</v>
      </c>
      <c r="U6">
        <f t="shared" si="10"/>
        <v>231.9187142852241</v>
      </c>
    </row>
    <row r="7" spans="1:22">
      <c r="E7" s="1">
        <v>8.1850000000000005</v>
      </c>
      <c r="F7" s="1">
        <v>9.5225000000000009</v>
      </c>
      <c r="G7" s="1">
        <f t="shared" si="0"/>
        <v>7.5584045584045585</v>
      </c>
      <c r="I7" s="1">
        <v>50</v>
      </c>
      <c r="J7" s="1">
        <v>3.8151999999999999</v>
      </c>
      <c r="K7" s="1">
        <v>58.9024</v>
      </c>
      <c r="L7">
        <f t="shared" si="1"/>
        <v>6.4771554299994566E-2</v>
      </c>
      <c r="M7">
        <f t="shared" si="2"/>
        <v>0.40160098833338981</v>
      </c>
      <c r="N7">
        <f t="shared" si="3"/>
        <v>0.9795168626752</v>
      </c>
      <c r="O7">
        <f t="shared" si="4"/>
        <v>0.97805234622265202</v>
      </c>
      <c r="P7">
        <f t="shared" si="5"/>
        <v>1.0014973804400185</v>
      </c>
      <c r="Q7">
        <f t="shared" si="6"/>
        <v>6.6225038516751766E-2</v>
      </c>
      <c r="R7">
        <f t="shared" si="7"/>
        <v>0.40458279145020354</v>
      </c>
      <c r="S7">
        <f t="shared" si="8"/>
        <v>57.558404558404561</v>
      </c>
      <c r="T7">
        <f t="shared" si="9"/>
        <v>0.23413961462979602</v>
      </c>
      <c r="U7">
        <f t="shared" si="10"/>
        <v>234.13961462979603</v>
      </c>
    </row>
    <row r="8" spans="1:22">
      <c r="E8" s="1">
        <v>8.1850000000000005</v>
      </c>
      <c r="F8" s="1">
        <v>9.5225000000000009</v>
      </c>
      <c r="G8" s="1">
        <f t="shared" si="0"/>
        <v>7.5584045584045585</v>
      </c>
      <c r="I8" s="1">
        <v>51</v>
      </c>
      <c r="J8" s="1">
        <v>4.0210999999999997</v>
      </c>
      <c r="K8" s="1">
        <v>58.968200000000003</v>
      </c>
      <c r="L8">
        <f t="shared" si="1"/>
        <v>6.8190991076546331E-2</v>
      </c>
      <c r="M8">
        <f t="shared" si="2"/>
        <v>0.408547290089256</v>
      </c>
      <c r="N8">
        <f t="shared" si="3"/>
        <v>0.9791542372883506</v>
      </c>
      <c r="O8">
        <f t="shared" si="4"/>
        <v>0.97815273055172647</v>
      </c>
      <c r="P8">
        <f t="shared" si="5"/>
        <v>1.0010238756232468</v>
      </c>
      <c r="Q8">
        <f t="shared" si="6"/>
        <v>6.9714052771782622E-2</v>
      </c>
      <c r="R8">
        <f t="shared" si="7"/>
        <v>0.4115665878724275</v>
      </c>
      <c r="S8">
        <f t="shared" si="8"/>
        <v>58.558404558404561</v>
      </c>
      <c r="T8">
        <f t="shared" si="9"/>
        <v>0.24271771447497281</v>
      </c>
      <c r="U8">
        <f t="shared" si="10"/>
        <v>242.71771447497281</v>
      </c>
    </row>
    <row r="9" spans="1:22">
      <c r="E9" s="1">
        <v>8.1850000000000005</v>
      </c>
      <c r="F9" s="1">
        <v>9.5225000000000009</v>
      </c>
      <c r="G9" s="1">
        <f t="shared" si="0"/>
        <v>7.5584045584045585</v>
      </c>
      <c r="I9" s="1">
        <v>52</v>
      </c>
      <c r="J9" s="1">
        <v>4.1280999999999999</v>
      </c>
      <c r="K9" s="1">
        <v>57.848399999999998</v>
      </c>
      <c r="L9">
        <f t="shared" si="1"/>
        <v>7.1360659931821793E-2</v>
      </c>
      <c r="M9">
        <f t="shared" si="2"/>
        <v>0.41478173054334666</v>
      </c>
      <c r="N9">
        <f t="shared" si="3"/>
        <v>0.97936571352329882</v>
      </c>
      <c r="O9">
        <f t="shared" si="4"/>
        <v>0.97865208192121056</v>
      </c>
      <c r="P9">
        <f t="shared" si="5"/>
        <v>1.0007291984713171</v>
      </c>
      <c r="Q9">
        <f t="shared" si="6"/>
        <v>7.2917292314682788E-2</v>
      </c>
      <c r="R9">
        <f t="shared" si="7"/>
        <v>0.41777602279026255</v>
      </c>
      <c r="S9">
        <f t="shared" si="8"/>
        <v>59.558404558404561</v>
      </c>
      <c r="T9">
        <f t="shared" si="9"/>
        <v>0.24026947841763077</v>
      </c>
      <c r="U9">
        <f t="shared" si="10"/>
        <v>240.26947841763078</v>
      </c>
    </row>
    <row r="10" spans="1:22">
      <c r="E10" s="1">
        <v>8.1850000000000005</v>
      </c>
      <c r="F10" s="1">
        <v>9.5225000000000009</v>
      </c>
      <c r="G10" s="1">
        <f t="shared" si="0"/>
        <v>7.5584045584045585</v>
      </c>
      <c r="I10" s="1">
        <v>55</v>
      </c>
      <c r="J10" s="1">
        <v>4.5529999999999999</v>
      </c>
      <c r="K10" s="1">
        <v>55.740499999999997</v>
      </c>
      <c r="L10">
        <f t="shared" si="1"/>
        <v>8.1682080354499878E-2</v>
      </c>
      <c r="M10">
        <f t="shared" si="2"/>
        <v>0.43388595960698173</v>
      </c>
      <c r="N10">
        <f t="shared" si="3"/>
        <v>0.97946499166942147</v>
      </c>
      <c r="O10">
        <f t="shared" si="4"/>
        <v>0.97960395514133936</v>
      </c>
      <c r="P10">
        <f t="shared" si="5"/>
        <v>0.99985814321064292</v>
      </c>
      <c r="Q10">
        <f t="shared" si="6"/>
        <v>8.3382758844327665E-2</v>
      </c>
      <c r="R10">
        <f t="shared" si="7"/>
        <v>0.43687656962307525</v>
      </c>
      <c r="S10">
        <f t="shared" si="8"/>
        <v>62.558404558404561</v>
      </c>
      <c r="T10">
        <f t="shared" si="9"/>
        <v>0.24288727527732834</v>
      </c>
      <c r="U10">
        <f t="shared" si="10"/>
        <v>242.88727527732834</v>
      </c>
    </row>
    <row r="11" spans="1:22">
      <c r="E11" s="1">
        <v>8.1850000000000005</v>
      </c>
      <c r="F11" s="1">
        <v>9.5225000000000009</v>
      </c>
      <c r="G11" s="1">
        <f t="shared" si="0"/>
        <v>7.5584045584045585</v>
      </c>
      <c r="I11" s="1">
        <v>60</v>
      </c>
      <c r="J11" s="1">
        <v>5.2035</v>
      </c>
      <c r="K11" s="1">
        <v>49.6145</v>
      </c>
      <c r="L11">
        <f t="shared" si="1"/>
        <v>0.10487861411482531</v>
      </c>
      <c r="M11">
        <f t="shared" si="2"/>
        <v>0.47158753064185283</v>
      </c>
      <c r="N11">
        <f t="shared" si="3"/>
        <v>0.97999752918749994</v>
      </c>
      <c r="O11">
        <f t="shared" si="4"/>
        <v>0.98109404062527539</v>
      </c>
      <c r="P11">
        <f t="shared" si="5"/>
        <v>0.99888235847699514</v>
      </c>
      <c r="Q11">
        <f t="shared" si="6"/>
        <v>0.10689965464267176</v>
      </c>
      <c r="R11">
        <f t="shared" si="7"/>
        <v>0.47459748673501401</v>
      </c>
      <c r="S11">
        <f t="shared" si="8"/>
        <v>67.558404558404561</v>
      </c>
      <c r="T11">
        <f t="shared" si="9"/>
        <v>0.22857180872495311</v>
      </c>
      <c r="U11">
        <f t="shared" si="10"/>
        <v>228.57180872495312</v>
      </c>
    </row>
    <row r="12" spans="1:22">
      <c r="E12" s="1">
        <v>8.1850000000000005</v>
      </c>
      <c r="F12" s="1">
        <v>9.5225000000000009</v>
      </c>
      <c r="G12" s="1">
        <f t="shared" si="0"/>
        <v>7.5584045584045585</v>
      </c>
      <c r="I12" s="1">
        <v>65</v>
      </c>
      <c r="J12" s="1">
        <v>5.6464999999999996</v>
      </c>
      <c r="K12" s="1">
        <v>45.398699999999998</v>
      </c>
      <c r="L12">
        <f t="shared" si="1"/>
        <v>0.12437580811785359</v>
      </c>
      <c r="M12">
        <f t="shared" si="2"/>
        <v>0.49916635500164258</v>
      </c>
      <c r="N12">
        <f t="shared" si="3"/>
        <v>0.98132785978106507</v>
      </c>
      <c r="O12">
        <f t="shared" si="4"/>
        <v>0.98287323540268956</v>
      </c>
      <c r="P12">
        <f t="shared" si="5"/>
        <v>0.9984276958961128</v>
      </c>
      <c r="Q12">
        <f t="shared" si="6"/>
        <v>0.12654308168936559</v>
      </c>
      <c r="R12">
        <f t="shared" si="7"/>
        <v>0.5020490337036525</v>
      </c>
      <c r="S12">
        <f t="shared" si="8"/>
        <v>72.558404558404561</v>
      </c>
      <c r="T12">
        <f t="shared" si="9"/>
        <v>0.21122006559576845</v>
      </c>
      <c r="U12">
        <f t="shared" si="10"/>
        <v>211.22006559576846</v>
      </c>
    </row>
    <row r="13" spans="1:22">
      <c r="E13" s="1">
        <v>8.1850000000000005</v>
      </c>
      <c r="F13" s="1">
        <v>9.5225000000000009</v>
      </c>
      <c r="G13" s="1">
        <f t="shared" si="0"/>
        <v>7.5584045584045585</v>
      </c>
      <c r="I13" s="1">
        <v>70</v>
      </c>
      <c r="J13" s="1">
        <v>6.6445999999999996</v>
      </c>
      <c r="K13" s="1">
        <v>42.467500000000001</v>
      </c>
      <c r="L13">
        <f t="shared" si="1"/>
        <v>0.15646317772414198</v>
      </c>
      <c r="M13">
        <f t="shared" si="2"/>
        <v>0.53885350918657593</v>
      </c>
      <c r="N13">
        <f t="shared" si="3"/>
        <v>0.98064810423510207</v>
      </c>
      <c r="O13">
        <f t="shared" si="4"/>
        <v>0.98291009493175174</v>
      </c>
      <c r="P13">
        <f t="shared" si="5"/>
        <v>0.99769867996237571</v>
      </c>
      <c r="Q13">
        <f t="shared" si="6"/>
        <v>0.15918361051628632</v>
      </c>
      <c r="R13">
        <f t="shared" si="7"/>
        <v>0.54195860592205025</v>
      </c>
      <c r="S13">
        <f t="shared" si="8"/>
        <v>77.558404558404561</v>
      </c>
      <c r="T13">
        <f t="shared" si="9"/>
        <v>0.21735998582394886</v>
      </c>
      <c r="U13">
        <f t="shared" si="10"/>
        <v>217.35998582394885</v>
      </c>
    </row>
    <row r="14" spans="1:22">
      <c r="E14" s="1">
        <v>8.1850000000000005</v>
      </c>
      <c r="F14" s="1">
        <v>9.5225000000000009</v>
      </c>
      <c r="G14" s="1">
        <f t="shared" si="0"/>
        <v>7.5584045584045585</v>
      </c>
      <c r="I14" s="1">
        <v>75</v>
      </c>
      <c r="J14" s="1">
        <v>7.4367000000000001</v>
      </c>
      <c r="K14" s="1">
        <v>39.799700000000001</v>
      </c>
      <c r="L14">
        <f t="shared" si="1"/>
        <v>0.1868531672349289</v>
      </c>
      <c r="M14">
        <f t="shared" si="2"/>
        <v>0.57169819526492205</v>
      </c>
      <c r="N14">
        <f t="shared" si="3"/>
        <v>0.98081858909920006</v>
      </c>
      <c r="O14">
        <f t="shared" si="4"/>
        <v>0.98344739496545597</v>
      </c>
      <c r="P14">
        <f t="shared" si="5"/>
        <v>0.99732694816244005</v>
      </c>
      <c r="Q14">
        <f t="shared" si="6"/>
        <v>0.18999813125895992</v>
      </c>
      <c r="R14">
        <f t="shared" si="7"/>
        <v>0.57488782311639042</v>
      </c>
      <c r="S14">
        <f t="shared" si="8"/>
        <v>82.558404558404561</v>
      </c>
      <c r="T14">
        <f t="shared" si="9"/>
        <v>0.21410156997190324</v>
      </c>
      <c r="U14">
        <f t="shared" si="10"/>
        <v>214.10156997190325</v>
      </c>
    </row>
    <row r="15" spans="1:22">
      <c r="E15" s="1">
        <v>8.1850000000000005</v>
      </c>
      <c r="F15" s="1">
        <v>9.5225000000000009</v>
      </c>
      <c r="G15" s="1">
        <f t="shared" si="0"/>
        <v>7.5584045584045585</v>
      </c>
      <c r="I15" s="1">
        <v>80</v>
      </c>
      <c r="J15" s="1">
        <v>8.5121000000000002</v>
      </c>
      <c r="K15" s="1">
        <v>37.131900000000002</v>
      </c>
      <c r="L15">
        <f t="shared" si="1"/>
        <v>0.22923954874380251</v>
      </c>
      <c r="M15">
        <f t="shared" si="2"/>
        <v>0.61201657147500876</v>
      </c>
      <c r="N15">
        <f t="shared" si="3"/>
        <v>0.9802743653635938</v>
      </c>
      <c r="O15">
        <f t="shared" si="4"/>
        <v>0.98332891068963091</v>
      </c>
      <c r="P15">
        <f t="shared" si="5"/>
        <v>0.99689366874823715</v>
      </c>
      <c r="Q15">
        <f t="shared" si="6"/>
        <v>0.23312601333264127</v>
      </c>
      <c r="R15">
        <f t="shared" si="7"/>
        <v>0.615455861659709</v>
      </c>
      <c r="S15">
        <f t="shared" si="8"/>
        <v>87.558404558404561</v>
      </c>
      <c r="T15">
        <f t="shared" si="9"/>
        <v>0.21548568089449147</v>
      </c>
      <c r="U15">
        <f t="shared" si="10"/>
        <v>215.48568089449145</v>
      </c>
    </row>
    <row r="16" spans="1:22">
      <c r="E16" s="1">
        <v>8.1850000000000005</v>
      </c>
      <c r="F16" s="1">
        <v>9.5225000000000009</v>
      </c>
      <c r="G16" s="1">
        <f t="shared" si="0"/>
        <v>7.5584045584045585</v>
      </c>
      <c r="I16" s="1">
        <v>85</v>
      </c>
      <c r="J16" s="1">
        <v>9.3899000000000008</v>
      </c>
      <c r="K16" s="1">
        <v>34.529899999999998</v>
      </c>
      <c r="L16">
        <f t="shared" si="1"/>
        <v>0.27193533720051322</v>
      </c>
      <c r="M16">
        <f t="shared" si="2"/>
        <v>0.64787101246857104</v>
      </c>
      <c r="N16">
        <f t="shared" si="3"/>
        <v>0.98038262091999995</v>
      </c>
      <c r="O16">
        <f t="shared" si="4"/>
        <v>0.98363887153297058</v>
      </c>
      <c r="P16">
        <f t="shared" si="5"/>
        <v>0.99668958729955859</v>
      </c>
      <c r="Q16">
        <f t="shared" si="6"/>
        <v>0.27645851040505387</v>
      </c>
      <c r="R16">
        <f t="shared" si="7"/>
        <v>0.65144334914989233</v>
      </c>
      <c r="S16">
        <f t="shared" si="8"/>
        <v>92.558404558404561</v>
      </c>
      <c r="T16">
        <f t="shared" si="9"/>
        <v>0.20906622510853248</v>
      </c>
      <c r="U16">
        <f t="shared" si="10"/>
        <v>209.06622510853248</v>
      </c>
    </row>
    <row r="17" spans="5:21">
      <c r="E17" s="1">
        <v>8.1850000000000005</v>
      </c>
      <c r="F17" s="1">
        <v>9.5225000000000009</v>
      </c>
      <c r="G17" s="1">
        <f t="shared" si="0"/>
        <v>7.5584045584045585</v>
      </c>
      <c r="I17" s="1">
        <v>90</v>
      </c>
      <c r="J17" s="1">
        <v>10.0619</v>
      </c>
      <c r="K17" s="1">
        <v>31.2364</v>
      </c>
      <c r="L17">
        <f t="shared" si="1"/>
        <v>0.32212098705356568</v>
      </c>
      <c r="M17">
        <f t="shared" si="2"/>
        <v>0.68549823418206157</v>
      </c>
      <c r="N17">
        <f t="shared" si="3"/>
        <v>0.98099907077370374</v>
      </c>
      <c r="O17">
        <f t="shared" si="4"/>
        <v>0.98429112714303302</v>
      </c>
      <c r="P17">
        <f t="shared" si="5"/>
        <v>0.99665540379411455</v>
      </c>
      <c r="Q17">
        <f t="shared" si="6"/>
        <v>0.32726190267359428</v>
      </c>
      <c r="R17">
        <f t="shared" si="7"/>
        <v>0.68912575876598958</v>
      </c>
      <c r="S17">
        <f t="shared" si="8"/>
        <v>97.558404558404561</v>
      </c>
      <c r="T17">
        <f t="shared" si="9"/>
        <v>0.19226703883865409</v>
      </c>
      <c r="U17">
        <f t="shared" si="10"/>
        <v>192.26703883865409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D92F-4C38-436F-8D8A-1C9A004BD33B}">
  <dimension ref="A1:V17"/>
  <sheetViews>
    <sheetView topLeftCell="L1" workbookViewId="0">
      <selection activeCell="K2" sqref="K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16" width="12.33203125" bestFit="1" customWidth="1"/>
    <col min="17" max="17" width="11.25" bestFit="1" customWidth="1"/>
    <col min="18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94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93</v>
      </c>
      <c r="B2" s="2">
        <v>3.8332999999999999</v>
      </c>
      <c r="C2" s="2">
        <v>25.04</v>
      </c>
      <c r="D2" s="2">
        <v>45</v>
      </c>
      <c r="E2" s="2">
        <v>8.1716669999999993</v>
      </c>
      <c r="F2" s="2">
        <v>9.5474999999999994</v>
      </c>
      <c r="G2" s="2">
        <f>0.07213/0.00685</f>
        <v>10.529927007299269</v>
      </c>
      <c r="H2" s="2" t="s">
        <v>9</v>
      </c>
      <c r="I2" s="2">
        <v>45</v>
      </c>
      <c r="J2" s="2">
        <v>2.7846000000000002</v>
      </c>
      <c r="K2" s="2">
        <v>58.2532</v>
      </c>
      <c r="L2" s="3">
        <f>J2:J25/K2:K25</f>
        <v>4.7801665831233311E-2</v>
      </c>
      <c r="M2" s="3">
        <f>(L2:L25)^(1/3)</f>
        <v>0.36292287602851342</v>
      </c>
      <c r="N2" s="3">
        <f>1-((3/10)*(J2:J25/I2:I25)^2)-((3/2)*((J2:J25*E2)/(I2:I25)^2))</f>
        <v>0.98199583454799999</v>
      </c>
      <c r="O2" s="3">
        <f>1-(F2/I2:I25)^3-((9/8)*(1-(F2/I2:I25)^2)*((J2:J25*E2)/I2:I25^2))-((9/35)*(J2:J25/I2:I25)^2)</f>
        <v>0.97739223527873986</v>
      </c>
      <c r="P2" s="3">
        <f>N2:N25/O2:O25</f>
        <v>1.0047100837341389</v>
      </c>
      <c r="Q2" s="3">
        <f>L2:L25/O2:O25</f>
        <v>4.8907351732337921E-2</v>
      </c>
      <c r="R2" s="3">
        <f>Q2:Q25^(1/3)</f>
        <v>0.36569979397119251</v>
      </c>
      <c r="S2" s="3">
        <f>I2:I25+G2</f>
        <v>55.529927007299271</v>
      </c>
      <c r="T2" s="3">
        <f>(P2:P25*3*K2:K25*J2:J25)/(2*25.04*S2:S25)</f>
        <v>0.1758138964630091</v>
      </c>
      <c r="U2" s="3">
        <f>T2:T25*1000</f>
        <v>175.81389646300909</v>
      </c>
      <c r="V2">
        <f>AVERAGE(U3:U17)</f>
        <v>236.72765494868133</v>
      </c>
    </row>
    <row r="3" spans="1:22">
      <c r="E3" s="1">
        <v>8.1716669999999993</v>
      </c>
      <c r="F3" s="1">
        <v>9.5474999999999994</v>
      </c>
      <c r="G3" s="1">
        <f t="shared" ref="G3:G17" si="0">0.07213/0.00685</f>
        <v>10.529927007299269</v>
      </c>
      <c r="I3" s="1">
        <v>46</v>
      </c>
      <c r="J3" s="1">
        <v>3.3441999999999998</v>
      </c>
      <c r="K3" s="1">
        <v>58.507100000000001</v>
      </c>
      <c r="L3">
        <f t="shared" ref="L3:L17" si="1">J3:J26/K3:K26</f>
        <v>5.7158874734861233E-2</v>
      </c>
      <c r="M3">
        <f t="shared" ref="M3:M17" si="2">(L3:L26)^(1/3)</f>
        <v>0.38520734260166412</v>
      </c>
      <c r="N3">
        <f t="shared" ref="N3:N17" si="3">1-((3/10)*(J3:J26/I3:I26)^2)-((3/2)*((J3:J26*E3)/(I3:I26)^2))</f>
        <v>0.97904223286195657</v>
      </c>
      <c r="O3">
        <f t="shared" ref="O3:O17" si="4">1-(F3/I3:I26)^3-((9/8)*(1-(F3/I3:I26)^2)*((J3:J26*E3)/I3:I26^2))-((9/35)*(J3:J26/I3:I26)^2)</f>
        <v>0.97579649438183047</v>
      </c>
      <c r="P3">
        <f t="shared" ref="P3:P17" si="5">N3:N26/O3:O26</f>
        <v>1.0033262452763598</v>
      </c>
      <c r="Q3">
        <f t="shared" ref="Q3:Q17" si="6">L3:L26/O3:O26</f>
        <v>5.8576634640475446E-2</v>
      </c>
      <c r="R3">
        <f t="shared" ref="R3:R17" si="7">Q3:Q26^(1/3)</f>
        <v>0.38836624167591954</v>
      </c>
      <c r="S3">
        <f t="shared" ref="S3:S17" si="8">I3:I26+G3</f>
        <v>56.529927007299271</v>
      </c>
      <c r="T3">
        <f t="shared" ref="T3:T17" si="9">(P3:P26*3*K3:K26*J3:J26)/(2*25.04*S3:S26)</f>
        <v>0.20802785799323409</v>
      </c>
      <c r="U3">
        <f t="shared" ref="U3:U17" si="10">T3:T26*1000</f>
        <v>208.02785799323408</v>
      </c>
    </row>
    <row r="4" spans="1:22">
      <c r="E4" s="1">
        <v>8.1716669999999993</v>
      </c>
      <c r="F4" s="1">
        <v>9.5474999999999994</v>
      </c>
      <c r="G4" s="1">
        <f t="shared" si="0"/>
        <v>10.529927007299269</v>
      </c>
      <c r="I4" s="1">
        <v>47</v>
      </c>
      <c r="J4" s="1">
        <v>3.7345000000000002</v>
      </c>
      <c r="K4" s="1">
        <v>61.2408</v>
      </c>
      <c r="L4">
        <f t="shared" si="1"/>
        <v>6.0980588104662253E-2</v>
      </c>
      <c r="M4">
        <f t="shared" si="2"/>
        <v>0.39360795711976504</v>
      </c>
      <c r="N4">
        <f t="shared" si="3"/>
        <v>0.9773836203294477</v>
      </c>
      <c r="O4">
        <f t="shared" si="4"/>
        <v>0.97509357871532543</v>
      </c>
      <c r="P4">
        <f t="shared" si="5"/>
        <v>1.0023485352217572</v>
      </c>
      <c r="Q4">
        <f t="shared" si="6"/>
        <v>6.2538190626794485E-2</v>
      </c>
      <c r="R4">
        <f t="shared" si="7"/>
        <v>0.39693107832174634</v>
      </c>
      <c r="S4">
        <f t="shared" si="8"/>
        <v>57.529927007299271</v>
      </c>
      <c r="T4">
        <f t="shared" si="9"/>
        <v>0.2387015233918767</v>
      </c>
      <c r="U4">
        <f t="shared" si="10"/>
        <v>238.70152339187669</v>
      </c>
    </row>
    <row r="5" spans="1:22">
      <c r="E5" s="1">
        <v>8.1716669999999993</v>
      </c>
      <c r="F5" s="1">
        <v>9.5474999999999994</v>
      </c>
      <c r="G5" s="1">
        <f t="shared" si="0"/>
        <v>10.529927007299269</v>
      </c>
      <c r="I5" s="1">
        <v>48</v>
      </c>
      <c r="J5" s="1">
        <v>3.8794</v>
      </c>
      <c r="K5" s="1">
        <v>60.812600000000003</v>
      </c>
      <c r="L5">
        <f t="shared" si="1"/>
        <v>6.3792700854757065E-2</v>
      </c>
      <c r="M5">
        <f t="shared" si="2"/>
        <v>0.39956765965366514</v>
      </c>
      <c r="N5">
        <f t="shared" si="3"/>
        <v>0.97740161859908858</v>
      </c>
      <c r="O5">
        <f t="shared" si="4"/>
        <v>0.97558419990935863</v>
      </c>
      <c r="P5">
        <f t="shared" si="5"/>
        <v>1.0018629029558892</v>
      </c>
      <c r="Q5">
        <f t="shared" si="6"/>
        <v>6.5389231253113814E-2</v>
      </c>
      <c r="R5">
        <f t="shared" si="7"/>
        <v>0.40287353927517872</v>
      </c>
      <c r="S5">
        <f t="shared" si="8"/>
        <v>58.529927007299271</v>
      </c>
      <c r="T5">
        <f t="shared" si="9"/>
        <v>0.24190529858455967</v>
      </c>
      <c r="U5">
        <f t="shared" si="10"/>
        <v>241.90529858455966</v>
      </c>
    </row>
    <row r="6" spans="1:22">
      <c r="E6" s="1">
        <v>8.1716669999999993</v>
      </c>
      <c r="F6" s="1">
        <v>9.5474999999999994</v>
      </c>
      <c r="G6" s="1">
        <f t="shared" si="0"/>
        <v>10.529927007299269</v>
      </c>
      <c r="I6" s="1">
        <v>49</v>
      </c>
      <c r="J6" s="1">
        <v>4.0407999999999999</v>
      </c>
      <c r="K6" s="1">
        <v>59.363500000000002</v>
      </c>
      <c r="L6">
        <f t="shared" si="1"/>
        <v>6.8068762791951273E-2</v>
      </c>
      <c r="M6">
        <f t="shared" si="2"/>
        <v>0.40830304521570976</v>
      </c>
      <c r="N6">
        <f t="shared" si="3"/>
        <v>0.97733089237301118</v>
      </c>
      <c r="O6">
        <f t="shared" si="4"/>
        <v>0.9759695413313848</v>
      </c>
      <c r="P6">
        <f t="shared" si="5"/>
        <v>1.0013948704175433</v>
      </c>
      <c r="Q6">
        <f t="shared" si="6"/>
        <v>6.9744761398080266E-2</v>
      </c>
      <c r="R6">
        <f t="shared" si="7"/>
        <v>0.41162700988083589</v>
      </c>
      <c r="S6">
        <f t="shared" si="8"/>
        <v>59.529927007299271</v>
      </c>
      <c r="T6">
        <f t="shared" si="9"/>
        <v>0.24172067642938078</v>
      </c>
      <c r="U6">
        <f t="shared" si="10"/>
        <v>241.72067642938077</v>
      </c>
    </row>
    <row r="7" spans="1:22">
      <c r="E7" s="1">
        <v>8.1716669999999993</v>
      </c>
      <c r="F7" s="1">
        <v>9.5474999999999994</v>
      </c>
      <c r="G7" s="1">
        <f t="shared" si="0"/>
        <v>10.529927007299269</v>
      </c>
      <c r="I7" s="1">
        <v>50</v>
      </c>
      <c r="J7" s="1">
        <v>4.1429</v>
      </c>
      <c r="K7" s="1">
        <v>58.935299999999998</v>
      </c>
      <c r="L7">
        <f t="shared" si="1"/>
        <v>7.0295731081372284E-2</v>
      </c>
      <c r="M7">
        <f t="shared" si="2"/>
        <v>0.41270809179972823</v>
      </c>
      <c r="N7">
        <f t="shared" si="3"/>
        <v>0.97762772602222003</v>
      </c>
      <c r="O7">
        <f t="shared" si="4"/>
        <v>0.97659319722623938</v>
      </c>
      <c r="P7">
        <f t="shared" si="5"/>
        <v>1.0010593241883303</v>
      </c>
      <c r="Q7">
        <f t="shared" si="6"/>
        <v>7.1980565993116835E-2</v>
      </c>
      <c r="R7">
        <f t="shared" si="7"/>
        <v>0.41597933127616665</v>
      </c>
      <c r="S7">
        <f t="shared" si="8"/>
        <v>60.529927007299271</v>
      </c>
      <c r="T7">
        <f t="shared" si="9"/>
        <v>0.24189480899236812</v>
      </c>
      <c r="U7">
        <f t="shared" si="10"/>
        <v>241.89480899236813</v>
      </c>
    </row>
    <row r="8" spans="1:22">
      <c r="E8" s="1">
        <v>8.1716669999999993</v>
      </c>
      <c r="F8" s="1">
        <v>9.5474999999999994</v>
      </c>
      <c r="G8" s="1">
        <f t="shared" si="0"/>
        <v>10.529927007299269</v>
      </c>
      <c r="I8" s="1">
        <v>51</v>
      </c>
      <c r="J8" s="1">
        <v>4.2878999999999996</v>
      </c>
      <c r="K8" s="1">
        <v>59.626899999999999</v>
      </c>
      <c r="L8">
        <f t="shared" si="1"/>
        <v>7.1912173867834814E-2</v>
      </c>
      <c r="M8">
        <f t="shared" si="2"/>
        <v>0.41584754234408527</v>
      </c>
      <c r="N8">
        <f t="shared" si="3"/>
        <v>0.97767214059325258</v>
      </c>
      <c r="O8">
        <f t="shared" si="4"/>
        <v>0.97699720391137101</v>
      </c>
      <c r="P8">
        <f t="shared" si="5"/>
        <v>1.000690827649434</v>
      </c>
      <c r="Q8">
        <f t="shared" si="6"/>
        <v>7.3605301611854329E-2</v>
      </c>
      <c r="R8">
        <f t="shared" si="7"/>
        <v>0.41908588342444297</v>
      </c>
      <c r="S8">
        <f t="shared" si="8"/>
        <v>61.529927007299271</v>
      </c>
      <c r="T8">
        <f t="shared" si="9"/>
        <v>0.24909059675234094</v>
      </c>
      <c r="U8">
        <f t="shared" si="10"/>
        <v>249.09059675234093</v>
      </c>
    </row>
    <row r="9" spans="1:22">
      <c r="E9" s="1">
        <v>8.1716669999999993</v>
      </c>
      <c r="F9" s="1">
        <v>9.5474999999999994</v>
      </c>
      <c r="G9" s="1">
        <f t="shared" si="0"/>
        <v>10.529927007299269</v>
      </c>
      <c r="I9" s="1">
        <v>52</v>
      </c>
      <c r="J9" s="1">
        <v>4.5761000000000003</v>
      </c>
      <c r="K9" s="1">
        <v>59.758699999999997</v>
      </c>
      <c r="L9">
        <f t="shared" si="1"/>
        <v>7.6576297677158317E-2</v>
      </c>
      <c r="M9">
        <f t="shared" si="2"/>
        <v>0.42465031938609105</v>
      </c>
      <c r="N9">
        <f t="shared" si="3"/>
        <v>0.9769327827658838</v>
      </c>
      <c r="O9">
        <f t="shared" si="4"/>
        <v>0.9767855882385198</v>
      </c>
      <c r="P9">
        <f t="shared" si="5"/>
        <v>1.000150692771409</v>
      </c>
      <c r="Q9">
        <f t="shared" si="6"/>
        <v>7.8396219804237388E-2</v>
      </c>
      <c r="R9">
        <f t="shared" si="7"/>
        <v>0.42798811326829322</v>
      </c>
      <c r="S9">
        <f t="shared" si="8"/>
        <v>62.529927007299271</v>
      </c>
      <c r="T9">
        <f t="shared" si="9"/>
        <v>0.26201798381305735</v>
      </c>
      <c r="U9">
        <f t="shared" si="10"/>
        <v>262.01798381305736</v>
      </c>
    </row>
    <row r="10" spans="1:22">
      <c r="E10" s="1">
        <v>8.1716669999999993</v>
      </c>
      <c r="F10" s="1">
        <v>9.5474999999999994</v>
      </c>
      <c r="G10" s="1">
        <f t="shared" si="0"/>
        <v>10.529927007299269</v>
      </c>
      <c r="I10" s="1">
        <v>55</v>
      </c>
      <c r="J10" s="1">
        <v>4.8494000000000002</v>
      </c>
      <c r="K10" s="1">
        <v>56.695700000000002</v>
      </c>
      <c r="L10">
        <f t="shared" si="1"/>
        <v>8.5533823552756211E-2</v>
      </c>
      <c r="M10">
        <f t="shared" si="2"/>
        <v>0.44060149065257492</v>
      </c>
      <c r="N10">
        <f t="shared" si="3"/>
        <v>0.97801767701398346</v>
      </c>
      <c r="O10">
        <f t="shared" si="4"/>
        <v>0.97847652026817211</v>
      </c>
      <c r="P10">
        <f t="shared" si="5"/>
        <v>0.99953106360277</v>
      </c>
      <c r="Q10">
        <f t="shared" si="6"/>
        <v>8.7415305100334822E-2</v>
      </c>
      <c r="R10">
        <f t="shared" si="7"/>
        <v>0.44380871474411665</v>
      </c>
      <c r="S10">
        <f t="shared" si="8"/>
        <v>65.529927007299264</v>
      </c>
      <c r="T10">
        <f t="shared" si="9"/>
        <v>0.25121853341209449</v>
      </c>
      <c r="U10">
        <f t="shared" si="10"/>
        <v>251.2185334120945</v>
      </c>
    </row>
    <row r="11" spans="1:22">
      <c r="E11" s="1">
        <v>8.1716669999999993</v>
      </c>
      <c r="F11" s="1">
        <v>9.5474999999999994</v>
      </c>
      <c r="G11" s="1">
        <f t="shared" si="0"/>
        <v>10.529927007299269</v>
      </c>
      <c r="I11" s="1">
        <v>60</v>
      </c>
      <c r="J11" s="1">
        <v>5.6300999999999997</v>
      </c>
      <c r="K11" s="1">
        <v>50.964700000000001</v>
      </c>
      <c r="L11">
        <f t="shared" si="1"/>
        <v>0.11047058061756469</v>
      </c>
      <c r="M11">
        <f t="shared" si="2"/>
        <v>0.47982427105734815</v>
      </c>
      <c r="N11">
        <f t="shared" si="3"/>
        <v>0.97818878850887492</v>
      </c>
      <c r="O11">
        <f t="shared" si="4"/>
        <v>0.97969345024986521</v>
      </c>
      <c r="P11">
        <f t="shared" si="5"/>
        <v>0.99846415045379089</v>
      </c>
      <c r="Q11">
        <f t="shared" si="6"/>
        <v>0.11276035436328558</v>
      </c>
      <c r="R11">
        <f t="shared" si="7"/>
        <v>0.48311680446795446</v>
      </c>
      <c r="S11">
        <f t="shared" si="8"/>
        <v>70.529927007299264</v>
      </c>
      <c r="T11">
        <f t="shared" si="9"/>
        <v>0.24333330634842223</v>
      </c>
      <c r="U11">
        <f t="shared" si="10"/>
        <v>243.33330634842224</v>
      </c>
    </row>
    <row r="12" spans="1:22">
      <c r="E12" s="1">
        <v>8.1716669999999993</v>
      </c>
      <c r="F12" s="1">
        <v>9.5474999999999994</v>
      </c>
      <c r="G12" s="1">
        <f t="shared" si="0"/>
        <v>10.529927007299269</v>
      </c>
      <c r="I12" s="1">
        <v>65</v>
      </c>
      <c r="J12" s="1">
        <v>6.3826999999999998</v>
      </c>
      <c r="K12" s="1">
        <v>47.7042</v>
      </c>
      <c r="L12">
        <f t="shared" si="1"/>
        <v>0.1337974434116912</v>
      </c>
      <c r="M12">
        <f t="shared" si="2"/>
        <v>0.51146502171693731</v>
      </c>
      <c r="N12">
        <f t="shared" si="3"/>
        <v>0.97858991568559761</v>
      </c>
      <c r="O12">
        <f t="shared" si="4"/>
        <v>0.98076309145980767</v>
      </c>
      <c r="P12">
        <f t="shared" si="5"/>
        <v>0.9977841990658769</v>
      </c>
      <c r="Q12">
        <f t="shared" si="6"/>
        <v>0.13642177665203697</v>
      </c>
      <c r="R12">
        <f t="shared" si="7"/>
        <v>0.51478739035816024</v>
      </c>
      <c r="S12">
        <f t="shared" si="8"/>
        <v>75.529927007299264</v>
      </c>
      <c r="T12">
        <f t="shared" si="9"/>
        <v>0.24095477713629976</v>
      </c>
      <c r="U12">
        <f t="shared" si="10"/>
        <v>240.95477713629975</v>
      </c>
    </row>
    <row r="13" spans="1:22">
      <c r="E13" s="1">
        <v>8.1716669999999993</v>
      </c>
      <c r="F13" s="1">
        <v>9.5474999999999994</v>
      </c>
      <c r="G13" s="1">
        <f t="shared" si="0"/>
        <v>10.529927007299269</v>
      </c>
      <c r="I13" s="1">
        <v>70</v>
      </c>
      <c r="J13" s="1">
        <v>7.3017000000000003</v>
      </c>
      <c r="K13" s="1">
        <v>44.2789</v>
      </c>
      <c r="L13">
        <f t="shared" si="1"/>
        <v>0.16490247047690887</v>
      </c>
      <c r="M13">
        <f t="shared" si="2"/>
        <v>0.54837256716266658</v>
      </c>
      <c r="N13">
        <f t="shared" si="3"/>
        <v>0.97847040035349997</v>
      </c>
      <c r="O13">
        <f t="shared" si="4"/>
        <v>0.98122059353330793</v>
      </c>
      <c r="P13">
        <f t="shared" si="5"/>
        <v>0.99719717136194141</v>
      </c>
      <c r="Q13">
        <f t="shared" si="6"/>
        <v>0.16805850953770385</v>
      </c>
      <c r="R13">
        <f t="shared" si="7"/>
        <v>0.55184888473735438</v>
      </c>
      <c r="S13">
        <f t="shared" si="8"/>
        <v>80.529927007299264</v>
      </c>
      <c r="T13">
        <f t="shared" si="9"/>
        <v>0.23982887805096725</v>
      </c>
      <c r="U13">
        <f t="shared" si="10"/>
        <v>239.82887805096726</v>
      </c>
    </row>
    <row r="14" spans="1:22">
      <c r="E14" s="1">
        <v>8.1716669999999993</v>
      </c>
      <c r="F14" s="1">
        <v>9.5474999999999994</v>
      </c>
      <c r="G14" s="1">
        <f t="shared" si="0"/>
        <v>10.529927007299269</v>
      </c>
      <c r="I14" s="1">
        <v>75</v>
      </c>
      <c r="J14" s="1">
        <v>8.0691000000000006</v>
      </c>
      <c r="K14" s="1">
        <v>40.721899999999998</v>
      </c>
      <c r="L14">
        <f t="shared" si="1"/>
        <v>0.19815136327136015</v>
      </c>
      <c r="M14">
        <f t="shared" si="2"/>
        <v>0.58299615192554199</v>
      </c>
      <c r="N14">
        <f t="shared" si="3"/>
        <v>0.97894398049288001</v>
      </c>
      <c r="O14">
        <f t="shared" si="4"/>
        <v>0.98198670154456813</v>
      </c>
      <c r="P14">
        <f t="shared" si="5"/>
        <v>0.99690146409630376</v>
      </c>
      <c r="Q14">
        <f t="shared" si="6"/>
        <v>0.20178619828525948</v>
      </c>
      <c r="R14">
        <f t="shared" si="7"/>
        <v>0.58653934886747405</v>
      </c>
      <c r="S14">
        <f t="shared" si="8"/>
        <v>85.529927007299264</v>
      </c>
      <c r="T14">
        <f t="shared" si="9"/>
        <v>0.22942682642356416</v>
      </c>
      <c r="U14">
        <f t="shared" si="10"/>
        <v>229.42682642356417</v>
      </c>
    </row>
    <row r="15" spans="1:22">
      <c r="E15" s="1">
        <v>8.1716669999999993</v>
      </c>
      <c r="F15" s="1">
        <v>9.5474999999999994</v>
      </c>
      <c r="G15" s="1">
        <f t="shared" si="0"/>
        <v>10.529927007299269</v>
      </c>
      <c r="I15" s="1">
        <v>80</v>
      </c>
      <c r="J15" s="1">
        <v>8.9172999999999991</v>
      </c>
      <c r="K15" s="1">
        <v>38.679900000000004</v>
      </c>
      <c r="L15">
        <f t="shared" si="1"/>
        <v>0.23054092694138295</v>
      </c>
      <c r="M15">
        <f t="shared" si="2"/>
        <v>0.61317251308313003</v>
      </c>
      <c r="N15">
        <f t="shared" si="3"/>
        <v>0.97919386234442962</v>
      </c>
      <c r="O15">
        <f t="shared" si="4"/>
        <v>0.98247866411534523</v>
      </c>
      <c r="P15">
        <f t="shared" si="5"/>
        <v>0.9966566177049011</v>
      </c>
      <c r="Q15">
        <f t="shared" si="6"/>
        <v>0.23465234957439943</v>
      </c>
      <c r="R15">
        <f t="shared" si="7"/>
        <v>0.61679612373448722</v>
      </c>
      <c r="S15">
        <f t="shared" si="8"/>
        <v>90.529927007299264</v>
      </c>
      <c r="T15">
        <f t="shared" si="9"/>
        <v>0.22747257262247483</v>
      </c>
      <c r="U15">
        <f t="shared" si="10"/>
        <v>227.47257262247484</v>
      </c>
    </row>
    <row r="16" spans="1:22">
      <c r="E16" s="1">
        <v>8.1716669999999993</v>
      </c>
      <c r="F16" s="1">
        <v>9.5474999999999994</v>
      </c>
      <c r="G16" s="1">
        <f t="shared" si="0"/>
        <v>10.529927007299269</v>
      </c>
      <c r="I16" s="1">
        <v>85</v>
      </c>
      <c r="J16" s="1">
        <v>9.9038000000000004</v>
      </c>
      <c r="K16" s="1">
        <v>35.485100000000003</v>
      </c>
      <c r="L16">
        <f t="shared" si="1"/>
        <v>0.27909742398922366</v>
      </c>
      <c r="M16">
        <f t="shared" si="2"/>
        <v>0.65350955632360663</v>
      </c>
      <c r="N16">
        <f t="shared" si="3"/>
        <v>0.97912506438977165</v>
      </c>
      <c r="O16">
        <f t="shared" si="4"/>
        <v>0.98264928417270903</v>
      </c>
      <c r="P16">
        <f t="shared" si="5"/>
        <v>0.99641355279070454</v>
      </c>
      <c r="Q16">
        <f t="shared" si="6"/>
        <v>0.28402546919290272</v>
      </c>
      <c r="R16">
        <f t="shared" si="7"/>
        <v>0.65733349391500739</v>
      </c>
      <c r="S16">
        <f t="shared" si="8"/>
        <v>95.529927007299264</v>
      </c>
      <c r="T16">
        <f t="shared" si="9"/>
        <v>0.21958618299092719</v>
      </c>
      <c r="U16">
        <f t="shared" si="10"/>
        <v>219.5861829909272</v>
      </c>
    </row>
    <row r="17" spans="5:21">
      <c r="E17" s="1">
        <v>8.1716669999999993</v>
      </c>
      <c r="F17" s="1">
        <v>9.5474999999999994</v>
      </c>
      <c r="G17" s="1">
        <f t="shared" si="0"/>
        <v>10.529927007299269</v>
      </c>
      <c r="I17" s="1">
        <v>90</v>
      </c>
      <c r="J17" s="1">
        <v>10.8771</v>
      </c>
      <c r="K17" s="1">
        <v>33.4101</v>
      </c>
      <c r="L17">
        <f t="shared" si="1"/>
        <v>0.32556322788617814</v>
      </c>
      <c r="M17">
        <f t="shared" si="2"/>
        <v>0.68793137208562449</v>
      </c>
      <c r="N17">
        <f t="shared" si="3"/>
        <v>0.97915809259116671</v>
      </c>
      <c r="O17">
        <f t="shared" si="4"/>
        <v>0.98284417959313164</v>
      </c>
      <c r="P17">
        <f t="shared" si="5"/>
        <v>0.99624957131710246</v>
      </c>
      <c r="Q17">
        <f t="shared" si="6"/>
        <v>0.33124602520508556</v>
      </c>
      <c r="R17">
        <f t="shared" si="7"/>
        <v>0.69191098429894671</v>
      </c>
      <c r="S17">
        <f t="shared" si="8"/>
        <v>100.52992700729926</v>
      </c>
      <c r="T17">
        <f t="shared" si="9"/>
        <v>0.21573500128865231</v>
      </c>
      <c r="U17">
        <f t="shared" si="10"/>
        <v>215.73500128865231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FB44-6AFD-40DF-94BC-DC433BCFE279}">
  <dimension ref="A1:V17"/>
  <sheetViews>
    <sheetView topLeftCell="K1" workbookViewId="0">
      <selection activeCell="U2" sqref="U2"/>
    </sheetView>
  </sheetViews>
  <sheetFormatPr defaultRowHeight="14"/>
  <cols>
    <col min="1" max="1" width="8.83203125" bestFit="1" customWidth="1"/>
    <col min="2" max="2" width="12.08203125" bestFit="1" customWidth="1"/>
    <col min="3" max="3" width="10.1640625" bestFit="1" customWidth="1"/>
    <col min="4" max="4" width="7.75" bestFit="1" customWidth="1"/>
    <col min="5" max="5" width="9.1640625" bestFit="1" customWidth="1"/>
    <col min="6" max="6" width="7.1640625" bestFit="1" customWidth="1"/>
    <col min="7" max="7" width="12.33203125" bestFit="1" customWidth="1"/>
    <col min="8" max="8" width="10.25" bestFit="1" customWidth="1"/>
    <col min="9" max="9" width="16.08203125" bestFit="1" customWidth="1"/>
    <col min="10" max="10" width="17" bestFit="1" customWidth="1"/>
    <col min="11" max="11" width="8.1640625" bestFit="1" customWidth="1"/>
    <col min="12" max="12" width="13.25" bestFit="1" customWidth="1"/>
    <col min="13" max="21" width="12.33203125" bestFit="1" customWidth="1"/>
    <col min="22" max="22" width="11.75" bestFit="1" customWidth="1"/>
  </cols>
  <sheetData>
    <row r="1" spans="1:22">
      <c r="A1" s="1" t="s">
        <v>0</v>
      </c>
      <c r="B1" s="1" t="s">
        <v>2</v>
      </c>
      <c r="C1" s="1" t="s">
        <v>3</v>
      </c>
      <c r="D1" s="1" t="s">
        <v>4</v>
      </c>
      <c r="E1" s="1" t="s">
        <v>11</v>
      </c>
      <c r="F1" s="1" t="s">
        <v>12</v>
      </c>
      <c r="G1" s="1" t="s">
        <v>19</v>
      </c>
      <c r="H1" s="1" t="s">
        <v>96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21</v>
      </c>
      <c r="Q1" s="1" t="s">
        <v>17</v>
      </c>
      <c r="R1" s="1" t="s">
        <v>18</v>
      </c>
      <c r="S1" s="1" t="s">
        <v>20</v>
      </c>
      <c r="T1" s="1" t="s">
        <v>22</v>
      </c>
      <c r="U1" s="1" t="s">
        <v>23</v>
      </c>
      <c r="V1" s="1" t="s">
        <v>97</v>
      </c>
    </row>
    <row r="2" spans="1:22">
      <c r="A2" s="2" t="s">
        <v>95</v>
      </c>
      <c r="B2" s="2">
        <v>3.85</v>
      </c>
      <c r="C2" s="2">
        <v>25.043330000000001</v>
      </c>
      <c r="D2" s="2">
        <v>45</v>
      </c>
      <c r="E2" s="2">
        <v>8.18</v>
      </c>
      <c r="F2" s="2">
        <v>9.5299999999999994</v>
      </c>
      <c r="G2" s="2">
        <f>0.05757/0.00683</f>
        <v>8.4289897510980971</v>
      </c>
      <c r="H2" s="2" t="s">
        <v>9</v>
      </c>
      <c r="I2" s="2">
        <v>45</v>
      </c>
      <c r="J2" s="2">
        <v>3.3309000000000002</v>
      </c>
      <c r="K2" s="2">
        <v>66.277000000000001</v>
      </c>
      <c r="L2" s="3">
        <f>J2:J25/K2:K25</f>
        <v>5.0257253647570048E-2</v>
      </c>
      <c r="M2" s="3">
        <f>(L2:L25)^(1/3)</f>
        <v>0.36903388972399537</v>
      </c>
      <c r="N2" s="3">
        <f>1-((3/10)*(J2:J25/I2:I25)^2)-((3/2)*((J2:J25*E2)/(I2:I25)^2))</f>
        <v>0.97817352521333334</v>
      </c>
      <c r="O2" s="3">
        <f>1-(F2/I2:I25)^3-((9/8)*(1-(F2/I2:I25)^2)*((J2:J25*E2)/I2:I25^2))-((9/35)*(J2:J25/I2:I25)^2)</f>
        <v>0.97463473360901753</v>
      </c>
      <c r="P2" s="3">
        <f>N2:N25/O2:O25</f>
        <v>1.003630890098911</v>
      </c>
      <c r="Q2" s="3">
        <f>L2:L25/O2:O25</f>
        <v>5.1565219168282939E-2</v>
      </c>
      <c r="R2" s="3">
        <f>Q2:Q25^(1/3)</f>
        <v>0.37220793085126985</v>
      </c>
      <c r="S2" s="3">
        <f>I2:I25+G2</f>
        <v>53.428989751098101</v>
      </c>
      <c r="T2" s="3">
        <f>(P2:P25*3*K2:K25*J2:J25)/(2*25.04333*S2:S25)</f>
        <v>0.24838231842773445</v>
      </c>
      <c r="U2" s="3">
        <f>T2:T25*1000</f>
        <v>248.38231842773445</v>
      </c>
      <c r="V2">
        <f>AVERAGE(U3:U17)</f>
        <v>228.98734123925462</v>
      </c>
    </row>
    <row r="3" spans="1:22">
      <c r="E3" s="1">
        <v>8.18</v>
      </c>
      <c r="F3" s="1">
        <v>9.5299999999999994</v>
      </c>
      <c r="G3" s="1">
        <f t="shared" ref="G3:G17" si="0">0.05757/0.00683</f>
        <v>8.4289897510980971</v>
      </c>
      <c r="I3" s="1">
        <v>46</v>
      </c>
      <c r="J3" s="1">
        <v>3.3228</v>
      </c>
      <c r="K3" s="1">
        <v>63.743899999999996</v>
      </c>
      <c r="L3">
        <f t="shared" ref="L3:L17" si="1">J3:J26/K3:K26</f>
        <v>5.2127340812218897E-2</v>
      </c>
      <c r="M3">
        <f t="shared" ref="M3:M17" si="2">(L3:L26)^(1/3)</f>
        <v>0.3735555474427214</v>
      </c>
      <c r="N3">
        <f t="shared" ref="N3:N17" si="3">1-((3/10)*(J3:J26/I3:I26)^2)-((3/2)*((J3:J26*E3)/(I3:I26)^2))</f>
        <v>0.9791667977542533</v>
      </c>
      <c r="O3">
        <f t="shared" ref="O3:O17" si="4">1-(F3/I3:I26)^3-((9/8)*(1-(F3/I3:I26)^2)*((J3:J26*E3)/I3:I26^2))-((9/35)*(J3:J26/I3:I26)^2)</f>
        <v>0.9759355102338666</v>
      </c>
      <c r="P3">
        <f t="shared" ref="P3:P17" si="5">N3:N26/O3:O26</f>
        <v>1.0033109641841114</v>
      </c>
      <c r="Q3">
        <f t="shared" ref="Q3:Q17" si="6">L3:L26/O3:O26</f>
        <v>5.3412689942727312E-2</v>
      </c>
      <c r="R3">
        <f t="shared" ref="R3:R17" si="7">Q3:Q26^(1/3)</f>
        <v>0.37660101260424717</v>
      </c>
      <c r="S3">
        <f t="shared" ref="S3:S17" si="8">I3:I26+G3</f>
        <v>54.428989751098101</v>
      </c>
      <c r="T3">
        <f t="shared" ref="T3:T17" si="9">(P3:P26*3*K3:K26*J3:J26)/(2*25.04333*S3:S26)</f>
        <v>0.23385534487356946</v>
      </c>
      <c r="U3">
        <f t="shared" ref="U3:U17" si="10">T3:T26*1000</f>
        <v>233.85534487356946</v>
      </c>
    </row>
    <row r="4" spans="1:22">
      <c r="E4" s="1">
        <v>8.18</v>
      </c>
      <c r="F4" s="1">
        <v>9.5299999999999994</v>
      </c>
      <c r="G4" s="1">
        <f t="shared" si="0"/>
        <v>8.4289897510980971</v>
      </c>
      <c r="I4" s="1">
        <v>47</v>
      </c>
      <c r="J4" s="1">
        <v>3.4891000000000001</v>
      </c>
      <c r="K4" s="1">
        <v>62.591200000000001</v>
      </c>
      <c r="L4">
        <f t="shared" si="1"/>
        <v>5.57442579787574E-2</v>
      </c>
      <c r="M4">
        <f t="shared" si="2"/>
        <v>0.38200294666814422</v>
      </c>
      <c r="N4">
        <f t="shared" si="3"/>
        <v>0.97896631840516068</v>
      </c>
      <c r="O4">
        <f t="shared" si="4"/>
        <v>0.97630867702354485</v>
      </c>
      <c r="P4">
        <f t="shared" si="5"/>
        <v>1.0027221322970499</v>
      </c>
      <c r="Q4">
        <f t="shared" si="6"/>
        <v>5.7096960511202194E-2</v>
      </c>
      <c r="R4">
        <f t="shared" si="7"/>
        <v>0.38506820742684561</v>
      </c>
      <c r="S4">
        <f t="shared" si="8"/>
        <v>55.428989751098101</v>
      </c>
      <c r="T4">
        <f t="shared" si="9"/>
        <v>0.23662984277092156</v>
      </c>
      <c r="U4">
        <f t="shared" si="10"/>
        <v>236.62984277092156</v>
      </c>
    </row>
    <row r="5" spans="1:22">
      <c r="E5" s="1">
        <v>8.18</v>
      </c>
      <c r="F5" s="1">
        <v>9.5299999999999994</v>
      </c>
      <c r="G5" s="1">
        <f t="shared" si="0"/>
        <v>8.4289897510980971</v>
      </c>
      <c r="I5" s="1">
        <v>48</v>
      </c>
      <c r="J5" s="1">
        <v>3.5697999999999999</v>
      </c>
      <c r="K5" s="1">
        <v>60.713799999999999</v>
      </c>
      <c r="L5">
        <f t="shared" si="1"/>
        <v>5.8797176259763016E-2</v>
      </c>
      <c r="M5">
        <f t="shared" si="2"/>
        <v>0.3888530321992778</v>
      </c>
      <c r="N5">
        <f t="shared" si="3"/>
        <v>0.97932964947395829</v>
      </c>
      <c r="O5">
        <f t="shared" si="4"/>
        <v>0.97705522567209646</v>
      </c>
      <c r="P5">
        <f t="shared" si="5"/>
        <v>1.0023278354611913</v>
      </c>
      <c r="Q5">
        <f t="shared" si="6"/>
        <v>6.0177945642036386E-2</v>
      </c>
      <c r="R5">
        <f t="shared" si="7"/>
        <v>0.391873400831039</v>
      </c>
      <c r="S5">
        <f t="shared" si="8"/>
        <v>56.428989751098101</v>
      </c>
      <c r="T5">
        <f t="shared" si="9"/>
        <v>0.23058868875156893</v>
      </c>
      <c r="U5">
        <f t="shared" si="10"/>
        <v>230.58868875156892</v>
      </c>
    </row>
    <row r="6" spans="1:22">
      <c r="E6" s="1">
        <v>8.18</v>
      </c>
      <c r="F6" s="1">
        <v>9.5299999999999994</v>
      </c>
      <c r="G6" s="1">
        <f t="shared" si="0"/>
        <v>8.4289897510980971</v>
      </c>
      <c r="I6" s="1">
        <v>49</v>
      </c>
      <c r="J6" s="1">
        <v>3.6850999999999998</v>
      </c>
      <c r="K6" s="1">
        <v>59.8904</v>
      </c>
      <c r="L6">
        <f t="shared" si="1"/>
        <v>6.153072946582424E-2</v>
      </c>
      <c r="M6">
        <f t="shared" si="2"/>
        <v>0.3947880708268614</v>
      </c>
      <c r="N6">
        <f t="shared" si="3"/>
        <v>0.97947098475510208</v>
      </c>
      <c r="O6">
        <f t="shared" si="4"/>
        <v>0.97759887903616283</v>
      </c>
      <c r="P6">
        <f t="shared" si="5"/>
        <v>1.0019150039541627</v>
      </c>
      <c r="Q6">
        <f t="shared" si="6"/>
        <v>6.2940671051596134E-2</v>
      </c>
      <c r="R6">
        <f t="shared" si="7"/>
        <v>0.3977807750625017</v>
      </c>
      <c r="S6">
        <f t="shared" si="8"/>
        <v>57.428989751098101</v>
      </c>
      <c r="T6">
        <f t="shared" si="9"/>
        <v>0.23062446589090566</v>
      </c>
      <c r="U6">
        <f t="shared" si="10"/>
        <v>230.62446589090567</v>
      </c>
    </row>
    <row r="7" spans="1:22">
      <c r="E7" s="1">
        <v>8.18</v>
      </c>
      <c r="F7" s="1">
        <v>9.5299999999999994</v>
      </c>
      <c r="G7" s="1">
        <f t="shared" si="0"/>
        <v>8.4289897510980971</v>
      </c>
      <c r="I7" s="1">
        <v>50</v>
      </c>
      <c r="J7" s="1">
        <v>3.7345000000000002</v>
      </c>
      <c r="K7" s="1">
        <v>60.1539</v>
      </c>
      <c r="L7">
        <f t="shared" si="1"/>
        <v>6.2082425245910906E-2</v>
      </c>
      <c r="M7">
        <f t="shared" si="2"/>
        <v>0.39596447587564026</v>
      </c>
      <c r="N7">
        <f t="shared" si="3"/>
        <v>0.97999749517000001</v>
      </c>
      <c r="O7">
        <f t="shared" si="4"/>
        <v>0.97839401881060595</v>
      </c>
      <c r="P7">
        <f t="shared" si="5"/>
        <v>1.0016388861016785</v>
      </c>
      <c r="Q7">
        <f t="shared" si="6"/>
        <v>6.3453398173245176E-2</v>
      </c>
      <c r="R7">
        <f t="shared" si="7"/>
        <v>0.39885798882335644</v>
      </c>
      <c r="S7">
        <f t="shared" si="8"/>
        <v>58.428989751098101</v>
      </c>
      <c r="T7">
        <f t="shared" si="9"/>
        <v>0.23066315886384481</v>
      </c>
      <c r="U7">
        <f t="shared" si="10"/>
        <v>230.66315886384481</v>
      </c>
    </row>
    <row r="8" spans="1:22">
      <c r="E8" s="1">
        <v>8.18</v>
      </c>
      <c r="F8" s="1">
        <v>9.5299999999999994</v>
      </c>
      <c r="G8" s="1">
        <f t="shared" si="0"/>
        <v>8.4289897510980971</v>
      </c>
      <c r="I8" s="1">
        <v>51</v>
      </c>
      <c r="J8" s="1">
        <v>3.8431999999999999</v>
      </c>
      <c r="K8" s="1">
        <v>59.857500000000002</v>
      </c>
      <c r="L8">
        <f t="shared" si="1"/>
        <v>6.4205822160965625E-2</v>
      </c>
      <c r="M8">
        <f t="shared" si="2"/>
        <v>0.40042833732279753</v>
      </c>
      <c r="N8">
        <f t="shared" si="3"/>
        <v>0.98016642834602075</v>
      </c>
      <c r="O8">
        <f t="shared" si="4"/>
        <v>0.97889227100452303</v>
      </c>
      <c r="P8">
        <f t="shared" si="5"/>
        <v>1.0013016318334909</v>
      </c>
      <c r="Q8">
        <f t="shared" si="6"/>
        <v>6.5590284102538352E-2</v>
      </c>
      <c r="R8">
        <f t="shared" si="7"/>
        <v>0.4032860230894571</v>
      </c>
      <c r="S8">
        <f t="shared" si="8"/>
        <v>59.428989751098101</v>
      </c>
      <c r="T8">
        <f t="shared" si="9"/>
        <v>0.23215461368739132</v>
      </c>
      <c r="U8">
        <f t="shared" si="10"/>
        <v>232.15461368739133</v>
      </c>
    </row>
    <row r="9" spans="1:22">
      <c r="E9" s="1">
        <v>8.18</v>
      </c>
      <c r="F9" s="1">
        <v>9.5299999999999994</v>
      </c>
      <c r="G9" s="1">
        <f t="shared" si="0"/>
        <v>8.4289897510980971</v>
      </c>
      <c r="I9" s="1">
        <v>52</v>
      </c>
      <c r="J9" s="1">
        <v>4.0754000000000001</v>
      </c>
      <c r="K9" s="1">
        <v>60.186799999999998</v>
      </c>
      <c r="L9">
        <f t="shared" si="1"/>
        <v>6.7712521682495169E-2</v>
      </c>
      <c r="M9">
        <f t="shared" si="2"/>
        <v>0.40758950784755188</v>
      </c>
      <c r="N9">
        <f t="shared" si="3"/>
        <v>0.97966426643934912</v>
      </c>
      <c r="O9">
        <f t="shared" si="4"/>
        <v>0.97886104444504685</v>
      </c>
      <c r="P9">
        <f t="shared" si="5"/>
        <v>1.0008205679435918</v>
      </c>
      <c r="Q9">
        <f t="shared" si="6"/>
        <v>6.917480480682929E-2</v>
      </c>
      <c r="R9">
        <f t="shared" si="7"/>
        <v>0.41050266486872211</v>
      </c>
      <c r="S9">
        <f t="shared" si="8"/>
        <v>60.428989751098101</v>
      </c>
      <c r="T9">
        <f t="shared" si="9"/>
        <v>0.24332210533072071</v>
      </c>
      <c r="U9">
        <f t="shared" si="10"/>
        <v>243.32210533072072</v>
      </c>
    </row>
    <row r="10" spans="1:22">
      <c r="E10" s="1">
        <v>8.18</v>
      </c>
      <c r="F10" s="1">
        <v>9.5299999999999994</v>
      </c>
      <c r="G10" s="1">
        <f t="shared" si="0"/>
        <v>8.4289897510980971</v>
      </c>
      <c r="I10" s="1">
        <v>55</v>
      </c>
      <c r="J10" s="1">
        <v>4.4591000000000003</v>
      </c>
      <c r="K10" s="1">
        <v>58.375399999999999</v>
      </c>
      <c r="L10">
        <f t="shared" si="1"/>
        <v>7.6386628614107999E-2</v>
      </c>
      <c r="M10">
        <f t="shared" si="2"/>
        <v>0.42429942918315899</v>
      </c>
      <c r="N10">
        <f t="shared" si="3"/>
        <v>0.97994108137421487</v>
      </c>
      <c r="O10">
        <f t="shared" si="4"/>
        <v>0.97994956571883418</v>
      </c>
      <c r="P10">
        <f t="shared" si="5"/>
        <v>0.99999134205992213</v>
      </c>
      <c r="Q10">
        <f t="shared" si="6"/>
        <v>7.7949550962936751E-2</v>
      </c>
      <c r="R10">
        <f t="shared" si="7"/>
        <v>0.427173732270412</v>
      </c>
      <c r="S10">
        <f t="shared" si="8"/>
        <v>63.428989751098101</v>
      </c>
      <c r="T10">
        <f t="shared" si="9"/>
        <v>0.24580160237572596</v>
      </c>
      <c r="U10">
        <f t="shared" si="10"/>
        <v>245.80160237572596</v>
      </c>
    </row>
    <row r="11" spans="1:22">
      <c r="E11" s="1">
        <v>8.18</v>
      </c>
      <c r="F11" s="1">
        <v>9.5299999999999994</v>
      </c>
      <c r="G11" s="1">
        <f t="shared" si="0"/>
        <v>8.4289897510980971</v>
      </c>
      <c r="I11" s="1">
        <v>60</v>
      </c>
      <c r="J11" s="1">
        <v>5.1031000000000004</v>
      </c>
      <c r="K11" s="1">
        <v>53.731499999999997</v>
      </c>
      <c r="L11">
        <f t="shared" si="1"/>
        <v>9.4974084103365816E-2</v>
      </c>
      <c r="M11">
        <f t="shared" si="2"/>
        <v>0.45624876793600894</v>
      </c>
      <c r="N11">
        <f t="shared" si="3"/>
        <v>0.98043679836583331</v>
      </c>
      <c r="O11">
        <f t="shared" si="4"/>
        <v>0.98141712703990336</v>
      </c>
      <c r="P11">
        <f t="shared" si="5"/>
        <v>0.99900110906253814</v>
      </c>
      <c r="Q11">
        <f t="shared" si="6"/>
        <v>9.6772393192099113E-2</v>
      </c>
      <c r="R11">
        <f t="shared" si="7"/>
        <v>0.45911043140752378</v>
      </c>
      <c r="S11">
        <f t="shared" si="8"/>
        <v>68.428989751098101</v>
      </c>
      <c r="T11">
        <f t="shared" si="9"/>
        <v>0.23976625964509016</v>
      </c>
      <c r="U11">
        <f t="shared" si="10"/>
        <v>239.76625964509014</v>
      </c>
    </row>
    <row r="12" spans="1:22">
      <c r="E12" s="1">
        <v>8.18</v>
      </c>
      <c r="F12" s="1">
        <v>9.5299999999999994</v>
      </c>
      <c r="G12" s="1">
        <f t="shared" si="0"/>
        <v>8.4289897510980971</v>
      </c>
      <c r="I12" s="1">
        <v>65</v>
      </c>
      <c r="J12" s="1">
        <v>5.7683999999999997</v>
      </c>
      <c r="K12" s="1">
        <v>49.219299999999997</v>
      </c>
      <c r="L12">
        <f t="shared" si="1"/>
        <v>0.11719792845489473</v>
      </c>
      <c r="M12">
        <f t="shared" si="2"/>
        <v>0.48937297063398205</v>
      </c>
      <c r="N12">
        <f t="shared" si="3"/>
        <v>0.98088506519100593</v>
      </c>
      <c r="O12">
        <f t="shared" si="4"/>
        <v>0.98252908038347797</v>
      </c>
      <c r="P12">
        <f t="shared" si="5"/>
        <v>0.99832675161957507</v>
      </c>
      <c r="Q12">
        <f t="shared" si="6"/>
        <v>0.11928189281598947</v>
      </c>
      <c r="R12">
        <f t="shared" si="7"/>
        <v>0.49225655425652631</v>
      </c>
      <c r="S12">
        <f t="shared" si="8"/>
        <v>73.428989751098101</v>
      </c>
      <c r="T12">
        <f t="shared" si="9"/>
        <v>0.23120389140185035</v>
      </c>
      <c r="U12">
        <f t="shared" si="10"/>
        <v>231.20389140185034</v>
      </c>
    </row>
    <row r="13" spans="1:22">
      <c r="E13" s="1">
        <v>8.18</v>
      </c>
      <c r="F13" s="1">
        <v>9.5299999999999994</v>
      </c>
      <c r="G13" s="1">
        <f t="shared" si="0"/>
        <v>8.4289897510980971</v>
      </c>
      <c r="I13" s="1">
        <v>70</v>
      </c>
      <c r="J13" s="1">
        <v>6.6543999999999999</v>
      </c>
      <c r="K13" s="1">
        <v>46.716200000000001</v>
      </c>
      <c r="L13">
        <f t="shared" si="1"/>
        <v>0.14244309254605469</v>
      </c>
      <c r="M13">
        <f t="shared" si="2"/>
        <v>0.52225242429835805</v>
      </c>
      <c r="N13">
        <f t="shared" si="3"/>
        <v>0.98062575514122441</v>
      </c>
      <c r="O13">
        <f t="shared" si="4"/>
        <v>0.98288708911307465</v>
      </c>
      <c r="P13">
        <f t="shared" si="5"/>
        <v>0.99769929425577175</v>
      </c>
      <c r="Q13">
        <f t="shared" si="6"/>
        <v>0.14492314948870752</v>
      </c>
      <c r="R13">
        <f t="shared" si="7"/>
        <v>0.52526595684396449</v>
      </c>
      <c r="S13">
        <f t="shared" si="8"/>
        <v>78.428989751098101</v>
      </c>
      <c r="T13">
        <f t="shared" si="9"/>
        <v>0.23686377086772994</v>
      </c>
      <c r="U13">
        <f t="shared" si="10"/>
        <v>236.86377086772995</v>
      </c>
    </row>
    <row r="14" spans="1:22">
      <c r="E14" s="1">
        <v>8.18</v>
      </c>
      <c r="F14" s="1">
        <v>9.5299999999999994</v>
      </c>
      <c r="G14" s="1">
        <f t="shared" si="0"/>
        <v>8.4289897510980971</v>
      </c>
      <c r="I14" s="1">
        <v>75</v>
      </c>
      <c r="J14" s="1">
        <v>7.3757999999999999</v>
      </c>
      <c r="K14" s="1">
        <v>40.985399999999998</v>
      </c>
      <c r="L14">
        <f t="shared" si="1"/>
        <v>0.17996164487842012</v>
      </c>
      <c r="M14">
        <f t="shared" si="2"/>
        <v>0.56458151053388916</v>
      </c>
      <c r="N14">
        <f t="shared" si="3"/>
        <v>0.98100945889919999</v>
      </c>
      <c r="O14">
        <f t="shared" si="4"/>
        <v>0.98358944262117431</v>
      </c>
      <c r="P14">
        <f t="shared" si="5"/>
        <v>0.99737697090861521</v>
      </c>
      <c r="Q14">
        <f t="shared" si="6"/>
        <v>0.18296418920361637</v>
      </c>
      <c r="R14">
        <f t="shared" si="7"/>
        <v>0.56770410140404493</v>
      </c>
      <c r="S14">
        <f t="shared" si="8"/>
        <v>83.428989751098101</v>
      </c>
      <c r="T14">
        <f t="shared" si="9"/>
        <v>0.21646109163168736</v>
      </c>
      <c r="U14">
        <f t="shared" si="10"/>
        <v>216.46109163168737</v>
      </c>
    </row>
    <row r="15" spans="1:22">
      <c r="E15" s="1">
        <v>8.18</v>
      </c>
      <c r="F15" s="1">
        <v>9.5299999999999994</v>
      </c>
      <c r="G15" s="1">
        <f t="shared" si="0"/>
        <v>8.4289897510980971</v>
      </c>
      <c r="I15" s="1">
        <v>80</v>
      </c>
      <c r="J15" s="1">
        <v>8.4380000000000006</v>
      </c>
      <c r="K15" s="1">
        <v>38.087000000000003</v>
      </c>
      <c r="L15">
        <f t="shared" si="1"/>
        <v>0.22154540919473836</v>
      </c>
      <c r="M15">
        <f t="shared" si="2"/>
        <v>0.60509131348972389</v>
      </c>
      <c r="N15">
        <f t="shared" si="3"/>
        <v>0.98048527918749995</v>
      </c>
      <c r="O15">
        <f t="shared" si="4"/>
        <v>0.98348807137290284</v>
      </c>
      <c r="P15">
        <f t="shared" si="5"/>
        <v>0.99694679348656345</v>
      </c>
      <c r="Q15">
        <f t="shared" si="6"/>
        <v>0.22526496827304823</v>
      </c>
      <c r="R15">
        <f t="shared" si="7"/>
        <v>0.60845886005362082</v>
      </c>
      <c r="S15">
        <f t="shared" si="8"/>
        <v>88.428989751098101</v>
      </c>
      <c r="T15">
        <f t="shared" si="9"/>
        <v>0.2170165160425179</v>
      </c>
      <c r="U15">
        <f t="shared" si="10"/>
        <v>217.01651604251791</v>
      </c>
    </row>
    <row r="16" spans="1:22">
      <c r="E16" s="1">
        <v>8.18</v>
      </c>
      <c r="F16" s="1">
        <v>9.5299999999999994</v>
      </c>
      <c r="G16" s="1">
        <f t="shared" si="0"/>
        <v>8.4289897510980971</v>
      </c>
      <c r="I16" s="1">
        <v>85</v>
      </c>
      <c r="J16" s="1">
        <v>9.1874000000000002</v>
      </c>
      <c r="K16" s="1">
        <v>35.122799999999998</v>
      </c>
      <c r="L16">
        <f t="shared" si="1"/>
        <v>0.26157937294293165</v>
      </c>
      <c r="M16">
        <f t="shared" si="2"/>
        <v>0.63954017503033145</v>
      </c>
      <c r="N16">
        <f t="shared" si="3"/>
        <v>0.980892471470173</v>
      </c>
      <c r="O16">
        <f t="shared" si="4"/>
        <v>0.98403157329351487</v>
      </c>
      <c r="P16">
        <f t="shared" si="5"/>
        <v>0.99680995822843832</v>
      </c>
      <c r="Q16">
        <f t="shared" si="6"/>
        <v>0.26582416666513636</v>
      </c>
      <c r="R16">
        <f t="shared" si="7"/>
        <v>0.64298102060978435</v>
      </c>
      <c r="S16">
        <f t="shared" si="8"/>
        <v>93.428989751098101</v>
      </c>
      <c r="T16">
        <f t="shared" si="9"/>
        <v>0.20621091705549985</v>
      </c>
      <c r="U16">
        <f t="shared" si="10"/>
        <v>206.21091705549983</v>
      </c>
    </row>
    <row r="17" spans="5:21">
      <c r="E17" s="1">
        <v>8.18</v>
      </c>
      <c r="F17" s="1">
        <v>9.5299999999999994</v>
      </c>
      <c r="G17" s="1">
        <f t="shared" si="0"/>
        <v>8.4289897510980971</v>
      </c>
      <c r="I17" s="1">
        <v>90</v>
      </c>
      <c r="J17" s="1">
        <v>10.1508</v>
      </c>
      <c r="K17" s="1">
        <v>33.080800000000004</v>
      </c>
      <c r="L17">
        <f t="shared" si="1"/>
        <v>0.30684868564242701</v>
      </c>
      <c r="M17">
        <f t="shared" si="2"/>
        <v>0.67448882058315363</v>
      </c>
      <c r="N17">
        <f t="shared" si="3"/>
        <v>0.98080716812444435</v>
      </c>
      <c r="O17">
        <f t="shared" si="4"/>
        <v>0.98413852455849382</v>
      </c>
      <c r="P17">
        <f t="shared" si="5"/>
        <v>0.99661495170555991</v>
      </c>
      <c r="Q17">
        <f t="shared" si="6"/>
        <v>0.31179420171574534</v>
      </c>
      <c r="R17">
        <f t="shared" si="7"/>
        <v>0.67809313069658805</v>
      </c>
      <c r="S17">
        <f t="shared" si="8"/>
        <v>98.428989751098101</v>
      </c>
      <c r="T17">
        <f t="shared" si="9"/>
        <v>0.20364784939979555</v>
      </c>
      <c r="U17">
        <f t="shared" si="10"/>
        <v>203.64784939979555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G1S1Not Use</vt:lpstr>
      <vt:lpstr>G1S2 not use</vt:lpstr>
      <vt:lpstr>G1S2</vt:lpstr>
      <vt:lpstr>Calculating dimension</vt:lpstr>
      <vt:lpstr>G1S3</vt:lpstr>
      <vt:lpstr>G1S4</vt:lpstr>
      <vt:lpstr>G1S5</vt:lpstr>
      <vt:lpstr>G1S6</vt:lpstr>
      <vt:lpstr>G1S7</vt:lpstr>
      <vt:lpstr>G1S8</vt:lpstr>
      <vt:lpstr>G1S9</vt:lpstr>
      <vt:lpstr>G2S1</vt:lpstr>
      <vt:lpstr>G2S2</vt:lpstr>
      <vt:lpstr>G2S3</vt:lpstr>
      <vt:lpstr>G2S4</vt:lpstr>
      <vt:lpstr>G2S5</vt:lpstr>
      <vt:lpstr>G2S6</vt:lpstr>
      <vt:lpstr>G2S7</vt:lpstr>
      <vt:lpstr>G2S8</vt:lpstr>
      <vt:lpstr>G2S9</vt:lpstr>
      <vt:lpstr>G3S1</vt:lpstr>
      <vt:lpstr>G3S2</vt:lpstr>
      <vt:lpstr>G3S3</vt:lpstr>
      <vt:lpstr>G3S4</vt:lpstr>
      <vt:lpstr>G3S5</vt:lpstr>
      <vt:lpstr>G3S6</vt:lpstr>
      <vt:lpstr>G3S7</vt:lpstr>
      <vt:lpstr>G3S8</vt:lpstr>
      <vt:lpstr>G3S9</vt:lpstr>
      <vt:lpstr>G4S1</vt:lpstr>
      <vt:lpstr>G4S2</vt:lpstr>
      <vt:lpstr>G4S3</vt:lpstr>
      <vt:lpstr>G4S4</vt:lpstr>
      <vt:lpstr>G4S5</vt:lpstr>
      <vt:lpstr>G4S6</vt:lpstr>
      <vt:lpstr>G4S7</vt:lpstr>
      <vt:lpstr>G4S8</vt:lpstr>
      <vt:lpstr>G4S9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Linjie Dong</cp:lastModifiedBy>
  <dcterms:created xsi:type="dcterms:W3CDTF">2015-06-05T18:19:34Z</dcterms:created>
  <dcterms:modified xsi:type="dcterms:W3CDTF">2026-09-01T12:09:44Z</dcterms:modified>
</cp:coreProperties>
</file>