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IC MASTER PROJECT\Experiment Data\ELS\"/>
    </mc:Choice>
  </mc:AlternateContent>
  <xr:revisionPtr revIDLastSave="0" documentId="13_ncr:1_{7C596EAB-DDB3-4536-BAE3-0C55A590BB3B}" xr6:coauthVersionLast="47" xr6:coauthVersionMax="47" xr10:uidLastSave="{00000000-0000-0000-0000-000000000000}"/>
  <bookViews>
    <workbookView xWindow="7570" yWindow="2430" windowWidth="13200" windowHeight="12390" tabRatio="718" firstSheet="4" activeTab="6" xr2:uid="{00000000-000D-0000-FFFF-FFFF00000000}"/>
  </bookViews>
  <sheets>
    <sheet name="G1S1" sheetId="1" r:id="rId1"/>
    <sheet name="G1S2" sheetId="20" r:id="rId2"/>
    <sheet name="G1S3" sheetId="21" r:id="rId3"/>
    <sheet name="G1S4" sheetId="22" r:id="rId4"/>
    <sheet name="G1S5" sheetId="33" r:id="rId5"/>
    <sheet name="G1S6" sheetId="34" r:id="rId6"/>
    <sheet name="G1S7" sheetId="35" r:id="rId7"/>
    <sheet name="G1S8" sheetId="36" r:id="rId8"/>
    <sheet name="G1S9" sheetId="37" r:id="rId9"/>
    <sheet name="G2S1" sheetId="11" r:id="rId10"/>
    <sheet name="G2S2" sheetId="13" r:id="rId11"/>
    <sheet name="G2S3" sheetId="14" r:id="rId12"/>
    <sheet name="G2S4" sheetId="27" r:id="rId13"/>
    <sheet name="G2S5" sheetId="28" r:id="rId14"/>
    <sheet name="G2S6" sheetId="29" r:id="rId15"/>
    <sheet name="G2S7" sheetId="30" r:id="rId16"/>
    <sheet name="G2S8" sheetId="31" r:id="rId17"/>
    <sheet name="G2S9" sheetId="32" r:id="rId18"/>
    <sheet name="G3S1" sheetId="2" r:id="rId19"/>
    <sheet name="G3S2" sheetId="3" r:id="rId20"/>
    <sheet name="G3S3" sheetId="4" r:id="rId21"/>
    <sheet name="G3S4" sheetId="5" r:id="rId22"/>
    <sheet name="G3S5" sheetId="15" r:id="rId23"/>
    <sheet name="G3S6" sheetId="16" r:id="rId24"/>
    <sheet name="G3S7" sheetId="17" r:id="rId25"/>
    <sheet name="G3S8" sheetId="18" r:id="rId26"/>
    <sheet name="G3S9" sheetId="19" r:id="rId27"/>
    <sheet name="G4S1" sheetId="6" r:id="rId28"/>
    <sheet name="G4S2" sheetId="7" r:id="rId29"/>
    <sheet name="G4S3" sheetId="8" r:id="rId30"/>
    <sheet name="G4S4" sheetId="9" r:id="rId31"/>
    <sheet name="G4S5" sheetId="10" r:id="rId32"/>
    <sheet name="G4S6" sheetId="23" r:id="rId33"/>
    <sheet name="G4S7" sheetId="24" r:id="rId34"/>
    <sheet name="G4S8" sheetId="25" r:id="rId35"/>
    <sheet name="G4S9" sheetId="26" r:id="rId3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2" i="20"/>
  <c r="O2" i="21"/>
  <c r="O2" i="22"/>
  <c r="O2" i="33"/>
  <c r="O2" i="34"/>
  <c r="O2" i="35"/>
  <c r="O2" i="36"/>
  <c r="O2" i="37"/>
  <c r="O2" i="11"/>
  <c r="O2" i="13"/>
  <c r="O2" i="14"/>
  <c r="O2" i="27"/>
  <c r="O2" i="28"/>
  <c r="O2" i="29"/>
  <c r="O2" i="30"/>
  <c r="O2" i="31"/>
  <c r="O2" i="32"/>
  <c r="O2" i="2"/>
  <c r="O2" i="3"/>
  <c r="O2" i="4"/>
  <c r="O2" i="5"/>
  <c r="O2" i="15"/>
  <c r="O2" i="16"/>
  <c r="O2" i="17"/>
  <c r="O2" i="18"/>
  <c r="O2" i="19"/>
  <c r="O2" i="6"/>
  <c r="O2" i="7"/>
  <c r="O2" i="8"/>
  <c r="O2" i="9"/>
  <c r="O2" i="10"/>
  <c r="O2" i="23"/>
  <c r="O2" i="24"/>
  <c r="O2" i="25"/>
  <c r="O2" i="26"/>
  <c r="N3" i="37"/>
  <c r="N4" i="37"/>
  <c r="N5" i="37"/>
  <c r="N6" i="37"/>
  <c r="N7" i="37"/>
  <c r="N8" i="37"/>
  <c r="N9" i="37"/>
  <c r="N10" i="37"/>
  <c r="N11" i="37"/>
  <c r="M3" i="37"/>
  <c r="M4" i="37"/>
  <c r="M5" i="37"/>
  <c r="M6" i="37"/>
  <c r="M7" i="37"/>
  <c r="M8" i="37"/>
  <c r="M9" i="37"/>
  <c r="M10" i="37"/>
  <c r="M11" i="37"/>
  <c r="M2" i="37"/>
  <c r="L3" i="37"/>
  <c r="L4" i="37"/>
  <c r="L5" i="37"/>
  <c r="L6" i="37"/>
  <c r="L7" i="37"/>
  <c r="L8" i="37"/>
  <c r="L9" i="37"/>
  <c r="L10" i="37"/>
  <c r="L11" i="37"/>
  <c r="K3" i="37"/>
  <c r="K4" i="37"/>
  <c r="K5" i="37"/>
  <c r="K6" i="37"/>
  <c r="K7" i="37"/>
  <c r="K8" i="37"/>
  <c r="K9" i="37"/>
  <c r="K10" i="37"/>
  <c r="K11" i="37"/>
  <c r="N2" i="37"/>
  <c r="L2" i="37"/>
  <c r="K2" i="37"/>
  <c r="N3" i="36"/>
  <c r="N4" i="36"/>
  <c r="N5" i="36"/>
  <c r="N6" i="36"/>
  <c r="N7" i="36"/>
  <c r="N8" i="36"/>
  <c r="N9" i="36"/>
  <c r="N10" i="36"/>
  <c r="N11" i="36"/>
  <c r="N12" i="36"/>
  <c r="M3" i="36"/>
  <c r="M4" i="36"/>
  <c r="M5" i="36"/>
  <c r="M6" i="36"/>
  <c r="M7" i="36"/>
  <c r="M8" i="36"/>
  <c r="M9" i="36"/>
  <c r="M10" i="36"/>
  <c r="M11" i="36"/>
  <c r="M12" i="36"/>
  <c r="M2" i="36"/>
  <c r="L3" i="36"/>
  <c r="L4" i="36"/>
  <c r="L5" i="36"/>
  <c r="L6" i="36"/>
  <c r="L7" i="36"/>
  <c r="L8" i="36"/>
  <c r="L9" i="36"/>
  <c r="L10" i="36"/>
  <c r="L11" i="36"/>
  <c r="L12" i="36"/>
  <c r="K3" i="36"/>
  <c r="K4" i="36"/>
  <c r="K5" i="36"/>
  <c r="K6" i="36"/>
  <c r="K7" i="36"/>
  <c r="K8" i="36"/>
  <c r="K9" i="36"/>
  <c r="K10" i="36"/>
  <c r="K11" i="36"/>
  <c r="K12" i="36"/>
  <c r="N2" i="36"/>
  <c r="L2" i="36"/>
  <c r="K2" i="36"/>
  <c r="N3" i="35"/>
  <c r="N4" i="35"/>
  <c r="N5" i="35"/>
  <c r="N6" i="35"/>
  <c r="N7" i="35"/>
  <c r="N8" i="35"/>
  <c r="N9" i="35"/>
  <c r="N10" i="35"/>
  <c r="M3" i="35"/>
  <c r="M4" i="35"/>
  <c r="M5" i="35"/>
  <c r="M6" i="35"/>
  <c r="M7" i="35"/>
  <c r="M8" i="35"/>
  <c r="M9" i="35"/>
  <c r="M10" i="35"/>
  <c r="M2" i="35"/>
  <c r="L3" i="35"/>
  <c r="L4" i="35"/>
  <c r="L5" i="35"/>
  <c r="L6" i="35"/>
  <c r="L7" i="35"/>
  <c r="L8" i="35"/>
  <c r="L9" i="35"/>
  <c r="L10" i="35"/>
  <c r="K3" i="35"/>
  <c r="K4" i="35"/>
  <c r="K5" i="35"/>
  <c r="K6" i="35"/>
  <c r="K7" i="35"/>
  <c r="K8" i="35"/>
  <c r="K9" i="35"/>
  <c r="K10" i="35"/>
  <c r="N2" i="35"/>
  <c r="L2" i="35"/>
  <c r="K2" i="35"/>
  <c r="N3" i="34"/>
  <c r="N4" i="34"/>
  <c r="N5" i="34"/>
  <c r="N6" i="34"/>
  <c r="N7" i="34"/>
  <c r="N8" i="34"/>
  <c r="N9" i="34"/>
  <c r="N10" i="34"/>
  <c r="N11" i="34"/>
  <c r="N12" i="34"/>
  <c r="M3" i="34"/>
  <c r="M4" i="34"/>
  <c r="M5" i="34"/>
  <c r="M6" i="34"/>
  <c r="M7" i="34"/>
  <c r="M8" i="34"/>
  <c r="M9" i="34"/>
  <c r="M10" i="34"/>
  <c r="M11" i="34"/>
  <c r="M12" i="34"/>
  <c r="M2" i="34"/>
  <c r="L3" i="34"/>
  <c r="L4" i="34"/>
  <c r="L5" i="34"/>
  <c r="L6" i="34"/>
  <c r="L7" i="34"/>
  <c r="L8" i="34"/>
  <c r="L9" i="34"/>
  <c r="L10" i="34"/>
  <c r="L11" i="34"/>
  <c r="L12" i="34"/>
  <c r="K3" i="34"/>
  <c r="K4" i="34"/>
  <c r="K5" i="34"/>
  <c r="K6" i="34"/>
  <c r="K7" i="34"/>
  <c r="K8" i="34"/>
  <c r="K9" i="34"/>
  <c r="K10" i="34"/>
  <c r="K11" i="34"/>
  <c r="K12" i="34"/>
  <c r="N2" i="34"/>
  <c r="L2" i="34"/>
  <c r="K2" i="34"/>
  <c r="N3" i="33"/>
  <c r="N4" i="33"/>
  <c r="N5" i="33"/>
  <c r="N6" i="33"/>
  <c r="N7" i="33"/>
  <c r="N8" i="33"/>
  <c r="N9" i="33"/>
  <c r="N10" i="33"/>
  <c r="N11" i="33"/>
  <c r="N12" i="33"/>
  <c r="M3" i="33"/>
  <c r="M4" i="33"/>
  <c r="M5" i="33"/>
  <c r="M6" i="33"/>
  <c r="M7" i="33"/>
  <c r="M8" i="33"/>
  <c r="M9" i="33"/>
  <c r="M10" i="33"/>
  <c r="M11" i="33"/>
  <c r="M12" i="33"/>
  <c r="M2" i="33"/>
  <c r="L3" i="33"/>
  <c r="L4" i="33"/>
  <c r="L5" i="33"/>
  <c r="L6" i="33"/>
  <c r="L7" i="33"/>
  <c r="L8" i="33"/>
  <c r="L9" i="33"/>
  <c r="L10" i="33"/>
  <c r="L11" i="33"/>
  <c r="L12" i="33"/>
  <c r="K3" i="33"/>
  <c r="K4" i="33"/>
  <c r="K5" i="33"/>
  <c r="K6" i="33"/>
  <c r="K7" i="33"/>
  <c r="K8" i="33"/>
  <c r="K9" i="33"/>
  <c r="K10" i="33"/>
  <c r="K11" i="33"/>
  <c r="K12" i="33"/>
  <c r="N2" i="33"/>
  <c r="L2" i="33"/>
  <c r="K2" i="33"/>
  <c r="N3" i="32"/>
  <c r="N4" i="32"/>
  <c r="N5" i="32"/>
  <c r="N6" i="32"/>
  <c r="N7" i="32"/>
  <c r="N8" i="32"/>
  <c r="N9" i="32"/>
  <c r="M3" i="32"/>
  <c r="M4" i="32"/>
  <c r="M5" i="32"/>
  <c r="M6" i="32"/>
  <c r="M7" i="32"/>
  <c r="M8" i="32"/>
  <c r="M9" i="32"/>
  <c r="M2" i="32"/>
  <c r="L3" i="32"/>
  <c r="L4" i="32"/>
  <c r="L5" i="32"/>
  <c r="L6" i="32"/>
  <c r="L7" i="32"/>
  <c r="L8" i="32"/>
  <c r="L9" i="32"/>
  <c r="K3" i="32"/>
  <c r="K4" i="32"/>
  <c r="K5" i="32"/>
  <c r="K6" i="32"/>
  <c r="K7" i="32"/>
  <c r="K8" i="32"/>
  <c r="K9" i="32"/>
  <c r="N2" i="32"/>
  <c r="L2" i="32"/>
  <c r="K2" i="32"/>
  <c r="N3" i="31"/>
  <c r="N4" i="31"/>
  <c r="N5" i="31"/>
  <c r="N6" i="31"/>
  <c r="N7" i="31"/>
  <c r="N8" i="31"/>
  <c r="N9" i="31"/>
  <c r="M3" i="31"/>
  <c r="M4" i="31"/>
  <c r="M5" i="31"/>
  <c r="M6" i="31"/>
  <c r="M7" i="31"/>
  <c r="M8" i="31"/>
  <c r="M9" i="31"/>
  <c r="M2" i="31"/>
  <c r="L3" i="31"/>
  <c r="L4" i="31"/>
  <c r="L5" i="31"/>
  <c r="L6" i="31"/>
  <c r="L7" i="31"/>
  <c r="L8" i="31"/>
  <c r="L9" i="31"/>
  <c r="K3" i="31"/>
  <c r="K4" i="31"/>
  <c r="K5" i="31"/>
  <c r="K6" i="31"/>
  <c r="K7" i="31"/>
  <c r="K8" i="31"/>
  <c r="K9" i="31"/>
  <c r="N2" i="31"/>
  <c r="L2" i="31"/>
  <c r="K2" i="31"/>
  <c r="N3" i="30"/>
  <c r="N4" i="30"/>
  <c r="N5" i="30"/>
  <c r="N6" i="30"/>
  <c r="N7" i="30"/>
  <c r="N8" i="30"/>
  <c r="N9" i="30"/>
  <c r="N10" i="30"/>
  <c r="N11" i="30"/>
  <c r="N12" i="30"/>
  <c r="M3" i="30"/>
  <c r="M4" i="30"/>
  <c r="M5" i="30"/>
  <c r="M6" i="30"/>
  <c r="M7" i="30"/>
  <c r="M8" i="30"/>
  <c r="M9" i="30"/>
  <c r="M10" i="30"/>
  <c r="M11" i="30"/>
  <c r="M12" i="30"/>
  <c r="M2" i="30"/>
  <c r="L3" i="30"/>
  <c r="L4" i="30"/>
  <c r="L5" i="30"/>
  <c r="L6" i="30"/>
  <c r="L7" i="30"/>
  <c r="L8" i="30"/>
  <c r="L9" i="30"/>
  <c r="L10" i="30"/>
  <c r="L11" i="30"/>
  <c r="L12" i="30"/>
  <c r="K3" i="30"/>
  <c r="K4" i="30"/>
  <c r="K5" i="30"/>
  <c r="K6" i="30"/>
  <c r="K7" i="30"/>
  <c r="K8" i="30"/>
  <c r="K9" i="30"/>
  <c r="K10" i="30"/>
  <c r="K11" i="30"/>
  <c r="K12" i="30"/>
  <c r="N2" i="30"/>
  <c r="L2" i="30"/>
  <c r="K2" i="30"/>
  <c r="N3" i="29"/>
  <c r="N4" i="29"/>
  <c r="N5" i="29"/>
  <c r="N6" i="29"/>
  <c r="N7" i="29"/>
  <c r="N8" i="29"/>
  <c r="N9" i="29"/>
  <c r="M3" i="29"/>
  <c r="M4" i="29"/>
  <c r="M5" i="29"/>
  <c r="M6" i="29"/>
  <c r="M7" i="29"/>
  <c r="M8" i="29"/>
  <c r="M9" i="29"/>
  <c r="M2" i="29"/>
  <c r="N2" i="29" s="1"/>
  <c r="L3" i="29"/>
  <c r="L4" i="29"/>
  <c r="L5" i="29"/>
  <c r="L6" i="29"/>
  <c r="L7" i="29"/>
  <c r="L8" i="29"/>
  <c r="L9" i="29"/>
  <c r="K3" i="29"/>
  <c r="K4" i="29"/>
  <c r="K5" i="29"/>
  <c r="K6" i="29"/>
  <c r="K7" i="29"/>
  <c r="K8" i="29"/>
  <c r="K9" i="29"/>
  <c r="L2" i="29"/>
  <c r="K2" i="29"/>
  <c r="N3" i="28"/>
  <c r="N4" i="28"/>
  <c r="N5" i="28"/>
  <c r="N6" i="28"/>
  <c r="N7" i="28"/>
  <c r="N8" i="28"/>
  <c r="N9" i="28"/>
  <c r="M3" i="28"/>
  <c r="M4" i="28"/>
  <c r="M5" i="28"/>
  <c r="M6" i="28"/>
  <c r="M7" i="28"/>
  <c r="M8" i="28"/>
  <c r="M9" i="28"/>
  <c r="M2" i="28"/>
  <c r="L3" i="28"/>
  <c r="L4" i="28"/>
  <c r="L5" i="28"/>
  <c r="L6" i="28"/>
  <c r="L7" i="28"/>
  <c r="L8" i="28"/>
  <c r="L9" i="28"/>
  <c r="K3" i="28"/>
  <c r="K4" i="28"/>
  <c r="K5" i="28"/>
  <c r="K6" i="28"/>
  <c r="K7" i="28"/>
  <c r="K8" i="28"/>
  <c r="K9" i="28"/>
  <c r="N2" i="28"/>
  <c r="L2" i="28"/>
  <c r="K2" i="28"/>
  <c r="N3" i="27"/>
  <c r="N4" i="27"/>
  <c r="N5" i="27"/>
  <c r="N6" i="27"/>
  <c r="N7" i="27"/>
  <c r="N8" i="27"/>
  <c r="N9" i="27"/>
  <c r="N10" i="27"/>
  <c r="M3" i="27"/>
  <c r="M4" i="27"/>
  <c r="M5" i="27"/>
  <c r="M6" i="27"/>
  <c r="M7" i="27"/>
  <c r="M8" i="27"/>
  <c r="M9" i="27"/>
  <c r="M10" i="27"/>
  <c r="M2" i="27"/>
  <c r="L3" i="27"/>
  <c r="L4" i="27"/>
  <c r="L5" i="27"/>
  <c r="L6" i="27"/>
  <c r="L7" i="27"/>
  <c r="L8" i="27"/>
  <c r="L9" i="27"/>
  <c r="L10" i="27"/>
  <c r="K3" i="27"/>
  <c r="K4" i="27"/>
  <c r="K5" i="27"/>
  <c r="K6" i="27"/>
  <c r="K7" i="27"/>
  <c r="K8" i="27"/>
  <c r="K9" i="27"/>
  <c r="K10" i="27"/>
  <c r="N2" i="27"/>
  <c r="L2" i="27"/>
  <c r="K2" i="27"/>
  <c r="N3" i="26"/>
  <c r="N4" i="26"/>
  <c r="N5" i="26"/>
  <c r="N6" i="26"/>
  <c r="N7" i="26"/>
  <c r="N8" i="26"/>
  <c r="M3" i="26"/>
  <c r="M4" i="26"/>
  <c r="M5" i="26"/>
  <c r="M6" i="26"/>
  <c r="M7" i="26"/>
  <c r="M8" i="26"/>
  <c r="M2" i="26"/>
  <c r="L3" i="26"/>
  <c r="L4" i="26"/>
  <c r="L5" i="26"/>
  <c r="L6" i="26"/>
  <c r="L7" i="26"/>
  <c r="L8" i="26"/>
  <c r="K3" i="26"/>
  <c r="K4" i="26"/>
  <c r="K5" i="26"/>
  <c r="K6" i="26"/>
  <c r="K7" i="26"/>
  <c r="K8" i="26"/>
  <c r="N2" i="26"/>
  <c r="L2" i="26"/>
  <c r="K2" i="26"/>
  <c r="N3" i="25"/>
  <c r="N4" i="25"/>
  <c r="N5" i="25"/>
  <c r="N6" i="25"/>
  <c r="M3" i="25"/>
  <c r="M4" i="25"/>
  <c r="M5" i="25"/>
  <c r="M6" i="25"/>
  <c r="M2" i="25"/>
  <c r="N2" i="25" s="1"/>
  <c r="L3" i="25"/>
  <c r="L4" i="25"/>
  <c r="L5" i="25"/>
  <c r="L6" i="25"/>
  <c r="K3" i="25"/>
  <c r="K4" i="25"/>
  <c r="K5" i="25"/>
  <c r="K6" i="25"/>
  <c r="L2" i="25"/>
  <c r="K2" i="25"/>
  <c r="N3" i="24"/>
  <c r="N4" i="24"/>
  <c r="N5" i="24"/>
  <c r="N6" i="24"/>
  <c r="N7" i="24"/>
  <c r="M3" i="24"/>
  <c r="M4" i="24"/>
  <c r="M5" i="24"/>
  <c r="M6" i="24"/>
  <c r="M7" i="24"/>
  <c r="M2" i="24"/>
  <c r="N2" i="24" s="1"/>
  <c r="L3" i="24"/>
  <c r="L4" i="24"/>
  <c r="L5" i="24"/>
  <c r="L6" i="24"/>
  <c r="L7" i="24"/>
  <c r="K3" i="24"/>
  <c r="K4" i="24"/>
  <c r="K5" i="24"/>
  <c r="K6" i="24"/>
  <c r="K7" i="24"/>
  <c r="L2" i="24"/>
  <c r="K2" i="24"/>
  <c r="N3" i="23"/>
  <c r="N4" i="23"/>
  <c r="N5" i="23"/>
  <c r="N6" i="23"/>
  <c r="N7" i="23"/>
  <c r="M3" i="23"/>
  <c r="M4" i="23"/>
  <c r="M5" i="23"/>
  <c r="M6" i="23"/>
  <c r="M7" i="23"/>
  <c r="M2" i="23"/>
  <c r="L3" i="23"/>
  <c r="L4" i="23"/>
  <c r="L5" i="23"/>
  <c r="L6" i="23"/>
  <c r="L7" i="23"/>
  <c r="K3" i="23"/>
  <c r="K4" i="23"/>
  <c r="K5" i="23"/>
  <c r="K6" i="23"/>
  <c r="K7" i="23"/>
  <c r="N2" i="23"/>
  <c r="L2" i="23"/>
  <c r="K2" i="23"/>
  <c r="N3" i="19"/>
  <c r="N4" i="19"/>
  <c r="N5" i="19"/>
  <c r="N6" i="19"/>
  <c r="N7" i="19"/>
  <c r="N8" i="19"/>
  <c r="N9" i="19"/>
  <c r="M3" i="19"/>
  <c r="M4" i="19"/>
  <c r="M5" i="19"/>
  <c r="M6" i="19"/>
  <c r="M7" i="19"/>
  <c r="M8" i="19"/>
  <c r="M9" i="19"/>
  <c r="M2" i="19"/>
  <c r="N2" i="19" s="1"/>
  <c r="N3" i="18"/>
  <c r="N4" i="18"/>
  <c r="N5" i="18"/>
  <c r="N6" i="18"/>
  <c r="N7" i="18"/>
  <c r="N8" i="18"/>
  <c r="N9" i="18"/>
  <c r="M3" i="18"/>
  <c r="M4" i="18"/>
  <c r="M5" i="18"/>
  <c r="M6" i="18"/>
  <c r="M7" i="18"/>
  <c r="M8" i="18"/>
  <c r="M9" i="18"/>
  <c r="M2" i="18"/>
  <c r="N2" i="18" s="1"/>
  <c r="N3" i="17"/>
  <c r="N4" i="17"/>
  <c r="N5" i="17"/>
  <c r="N6" i="17"/>
  <c r="N7" i="17"/>
  <c r="N8" i="17"/>
  <c r="N9" i="17"/>
  <c r="M3" i="17"/>
  <c r="M4" i="17"/>
  <c r="M5" i="17"/>
  <c r="M6" i="17"/>
  <c r="M7" i="17"/>
  <c r="M8" i="17"/>
  <c r="M9" i="17"/>
  <c r="M2" i="17"/>
  <c r="N2" i="17" s="1"/>
  <c r="N3" i="16"/>
  <c r="N4" i="16"/>
  <c r="N5" i="16"/>
  <c r="N6" i="16"/>
  <c r="N7" i="16"/>
  <c r="N8" i="16"/>
  <c r="M3" i="16"/>
  <c r="M4" i="16"/>
  <c r="M5" i="16"/>
  <c r="M6" i="16"/>
  <c r="M7" i="16"/>
  <c r="M8" i="16"/>
  <c r="M2" i="16"/>
  <c r="N3" i="15"/>
  <c r="N4" i="15"/>
  <c r="N5" i="15"/>
  <c r="N6" i="15"/>
  <c r="N7" i="15"/>
  <c r="N8" i="15"/>
  <c r="M3" i="15"/>
  <c r="M4" i="15"/>
  <c r="M5" i="15"/>
  <c r="M6" i="15"/>
  <c r="M7" i="15"/>
  <c r="M8" i="15"/>
  <c r="M2" i="15"/>
  <c r="N2" i="15" s="1"/>
  <c r="L3" i="16"/>
  <c r="N3" i="14"/>
  <c r="N4" i="14"/>
  <c r="N5" i="14"/>
  <c r="N6" i="14"/>
  <c r="N7" i="14"/>
  <c r="N8" i="14"/>
  <c r="M3" i="14"/>
  <c r="M4" i="14"/>
  <c r="M5" i="14"/>
  <c r="M6" i="14"/>
  <c r="M7" i="14"/>
  <c r="M8" i="14"/>
  <c r="M2" i="14"/>
  <c r="N2" i="14" s="1"/>
  <c r="N3" i="13"/>
  <c r="N4" i="13"/>
  <c r="N5" i="13"/>
  <c r="N6" i="13"/>
  <c r="N7" i="13"/>
  <c r="N8" i="13"/>
  <c r="N9" i="13"/>
  <c r="M3" i="13"/>
  <c r="M4" i="13"/>
  <c r="M5" i="13"/>
  <c r="M6" i="13"/>
  <c r="M7" i="13"/>
  <c r="M8" i="13"/>
  <c r="M9" i="13"/>
  <c r="M2" i="13"/>
  <c r="N2" i="13" s="1"/>
  <c r="N3" i="11"/>
  <c r="N4" i="11"/>
  <c r="N5" i="11"/>
  <c r="N6" i="11"/>
  <c r="N7" i="11"/>
  <c r="N8" i="11"/>
  <c r="M3" i="11"/>
  <c r="M4" i="11"/>
  <c r="M5" i="11"/>
  <c r="M6" i="11"/>
  <c r="M7" i="11"/>
  <c r="M8" i="11"/>
  <c r="M2" i="11"/>
  <c r="M3" i="22"/>
  <c r="M4" i="22"/>
  <c r="M5" i="22"/>
  <c r="M6" i="22"/>
  <c r="M7" i="22"/>
  <c r="M8" i="22"/>
  <c r="M9" i="22"/>
  <c r="M10" i="22"/>
  <c r="M2" i="22"/>
  <c r="N2" i="22" s="1"/>
  <c r="M3" i="21"/>
  <c r="M4" i="21"/>
  <c r="N4" i="21" s="1"/>
  <c r="M5" i="21"/>
  <c r="M6" i="21"/>
  <c r="M7" i="21"/>
  <c r="M8" i="21"/>
  <c r="M9" i="21"/>
  <c r="M2" i="21"/>
  <c r="N2" i="21" s="1"/>
  <c r="N3" i="20"/>
  <c r="N4" i="20"/>
  <c r="N5" i="20"/>
  <c r="N6" i="20"/>
  <c r="N7" i="20"/>
  <c r="N8" i="20"/>
  <c r="N9" i="20"/>
  <c r="N10" i="20"/>
  <c r="N11" i="20"/>
  <c r="N12" i="20"/>
  <c r="N13" i="20"/>
  <c r="M3" i="20"/>
  <c r="M4" i="20"/>
  <c r="M5" i="20"/>
  <c r="M6" i="20"/>
  <c r="M7" i="20"/>
  <c r="M8" i="20"/>
  <c r="M9" i="20"/>
  <c r="M10" i="20"/>
  <c r="M11" i="20"/>
  <c r="M12" i="20"/>
  <c r="M13" i="20"/>
  <c r="M2" i="20"/>
  <c r="N2" i="20" s="1"/>
  <c r="N3" i="21"/>
  <c r="N5" i="21"/>
  <c r="N6" i="21"/>
  <c r="N7" i="21"/>
  <c r="N8" i="21"/>
  <c r="N9" i="21"/>
  <c r="N3" i="22"/>
  <c r="N4" i="22"/>
  <c r="N5" i="22"/>
  <c r="N6" i="22"/>
  <c r="N7" i="22"/>
  <c r="N8" i="22"/>
  <c r="N9" i="22"/>
  <c r="N10" i="22"/>
  <c r="L3" i="22"/>
  <c r="L4" i="22"/>
  <c r="L5" i="22"/>
  <c r="L6" i="22"/>
  <c r="L7" i="22"/>
  <c r="L8" i="22"/>
  <c r="L9" i="22"/>
  <c r="L10" i="22"/>
  <c r="K3" i="22"/>
  <c r="K4" i="22"/>
  <c r="K5" i="22"/>
  <c r="K6" i="22"/>
  <c r="K7" i="22"/>
  <c r="K8" i="22"/>
  <c r="K9" i="22"/>
  <c r="K10" i="22"/>
  <c r="L3" i="21"/>
  <c r="L4" i="21"/>
  <c r="L5" i="21"/>
  <c r="L6" i="21"/>
  <c r="L7" i="21"/>
  <c r="L8" i="21"/>
  <c r="L9" i="21"/>
  <c r="K3" i="21"/>
  <c r="K4" i="21"/>
  <c r="K5" i="21"/>
  <c r="K6" i="21"/>
  <c r="K7" i="21"/>
  <c r="K8" i="21"/>
  <c r="K9" i="21"/>
  <c r="L3" i="20"/>
  <c r="L4" i="20"/>
  <c r="L5" i="20"/>
  <c r="L6" i="20"/>
  <c r="L7" i="20"/>
  <c r="L8" i="20"/>
  <c r="L9" i="20"/>
  <c r="L10" i="20"/>
  <c r="L11" i="20"/>
  <c r="L12" i="20"/>
  <c r="L13" i="20"/>
  <c r="K3" i="20"/>
  <c r="K4" i="20"/>
  <c r="K5" i="20"/>
  <c r="K6" i="20"/>
  <c r="K7" i="20"/>
  <c r="K8" i="20"/>
  <c r="K9" i="20"/>
  <c r="K10" i="20"/>
  <c r="K11" i="20"/>
  <c r="K12" i="20"/>
  <c r="K13" i="20"/>
  <c r="L2" i="22"/>
  <c r="K2" i="22"/>
  <c r="L2" i="21"/>
  <c r="K2" i="21"/>
  <c r="L2" i="20"/>
  <c r="K2" i="20"/>
  <c r="L3" i="19"/>
  <c r="L4" i="19"/>
  <c r="L5" i="19"/>
  <c r="L6" i="19"/>
  <c r="L7" i="19"/>
  <c r="L8" i="19"/>
  <c r="L9" i="19"/>
  <c r="K3" i="19"/>
  <c r="K4" i="19"/>
  <c r="K5" i="19"/>
  <c r="K6" i="19"/>
  <c r="K7" i="19"/>
  <c r="K8" i="19"/>
  <c r="K9" i="19"/>
  <c r="L3" i="18"/>
  <c r="L4" i="18"/>
  <c r="L5" i="18"/>
  <c r="L6" i="18"/>
  <c r="L7" i="18"/>
  <c r="L8" i="18"/>
  <c r="L9" i="18"/>
  <c r="K3" i="18"/>
  <c r="K4" i="18"/>
  <c r="K5" i="18"/>
  <c r="K6" i="18"/>
  <c r="K7" i="18"/>
  <c r="K8" i="18"/>
  <c r="K9" i="18"/>
  <c r="L3" i="17"/>
  <c r="L4" i="17"/>
  <c r="L5" i="17"/>
  <c r="L6" i="17"/>
  <c r="L7" i="17"/>
  <c r="L8" i="17"/>
  <c r="L9" i="17"/>
  <c r="K3" i="17"/>
  <c r="K4" i="17"/>
  <c r="K5" i="17"/>
  <c r="K6" i="17"/>
  <c r="K7" i="17"/>
  <c r="K8" i="17"/>
  <c r="K9" i="17"/>
  <c r="L4" i="16"/>
  <c r="L5" i="16"/>
  <c r="L6" i="16"/>
  <c r="L7" i="16"/>
  <c r="L8" i="16"/>
  <c r="K3" i="16"/>
  <c r="K4" i="16"/>
  <c r="K5" i="16"/>
  <c r="K6" i="16"/>
  <c r="K7" i="16"/>
  <c r="K8" i="16"/>
  <c r="L2" i="19"/>
  <c r="K2" i="19"/>
  <c r="L2" i="18"/>
  <c r="K2" i="18"/>
  <c r="L2" i="17"/>
  <c r="K2" i="17"/>
  <c r="N2" i="16"/>
  <c r="L2" i="16"/>
  <c r="K2" i="16"/>
  <c r="L3" i="15"/>
  <c r="L4" i="15"/>
  <c r="L5" i="15"/>
  <c r="L6" i="15"/>
  <c r="L7" i="15"/>
  <c r="L8" i="15"/>
  <c r="K3" i="15"/>
  <c r="K4" i="15"/>
  <c r="K5" i="15"/>
  <c r="K6" i="15"/>
  <c r="K7" i="15"/>
  <c r="K8" i="15"/>
  <c r="L2" i="15"/>
  <c r="K2" i="15"/>
  <c r="L3" i="14"/>
  <c r="L4" i="14"/>
  <c r="L5" i="14"/>
  <c r="L6" i="14"/>
  <c r="L7" i="14"/>
  <c r="L8" i="14"/>
  <c r="K3" i="14"/>
  <c r="K4" i="14"/>
  <c r="K5" i="14"/>
  <c r="K6" i="14"/>
  <c r="K7" i="14"/>
  <c r="K8" i="14"/>
  <c r="L3" i="13"/>
  <c r="L4" i="13"/>
  <c r="L5" i="13"/>
  <c r="L6" i="13"/>
  <c r="L7" i="13"/>
  <c r="L8" i="13"/>
  <c r="L9" i="13"/>
  <c r="K3" i="13"/>
  <c r="K4" i="13"/>
  <c r="K5" i="13"/>
  <c r="K6" i="13"/>
  <c r="K7" i="13"/>
  <c r="K8" i="13"/>
  <c r="K9" i="13"/>
  <c r="L2" i="14"/>
  <c r="K2" i="14"/>
  <c r="L3" i="11"/>
  <c r="L4" i="11"/>
  <c r="L5" i="11"/>
  <c r="L6" i="11"/>
  <c r="L7" i="11"/>
  <c r="L8" i="11"/>
  <c r="K3" i="11"/>
  <c r="K4" i="11"/>
  <c r="K5" i="11"/>
  <c r="K6" i="11"/>
  <c r="K7" i="11"/>
  <c r="K8" i="11"/>
  <c r="L2" i="13"/>
  <c r="K2" i="13"/>
  <c r="N2" i="11"/>
  <c r="L2" i="11"/>
  <c r="K2" i="11"/>
  <c r="N3" i="1"/>
  <c r="N4" i="1"/>
  <c r="N5" i="1"/>
  <c r="N6" i="1"/>
  <c r="N7" i="1"/>
  <c r="N8" i="1"/>
  <c r="N9" i="1"/>
  <c r="N2" i="1"/>
  <c r="M3" i="1"/>
  <c r="M4" i="1"/>
  <c r="M5" i="1"/>
  <c r="M6" i="1"/>
  <c r="M7" i="1"/>
  <c r="M8" i="1"/>
  <c r="M9" i="1"/>
  <c r="M2" i="1"/>
  <c r="N3" i="2"/>
  <c r="N4" i="2"/>
  <c r="N5" i="2"/>
  <c r="N6" i="2"/>
  <c r="N7" i="2"/>
  <c r="N8" i="2"/>
  <c r="N9" i="2"/>
  <c r="N2" i="2"/>
  <c r="M3" i="2"/>
  <c r="M4" i="2"/>
  <c r="M5" i="2"/>
  <c r="M6" i="2"/>
  <c r="M7" i="2"/>
  <c r="M8" i="2"/>
  <c r="M9" i="2"/>
  <c r="M2" i="2"/>
  <c r="N3" i="3"/>
  <c r="N4" i="3"/>
  <c r="N5" i="3"/>
  <c r="N6" i="3"/>
  <c r="N7" i="3"/>
  <c r="N8" i="3"/>
  <c r="N9" i="3"/>
  <c r="N2" i="3"/>
  <c r="M3" i="3"/>
  <c r="M4" i="3"/>
  <c r="M5" i="3"/>
  <c r="M6" i="3"/>
  <c r="M7" i="3"/>
  <c r="M8" i="3"/>
  <c r="M9" i="3"/>
  <c r="M2" i="3"/>
  <c r="N3" i="4"/>
  <c r="N4" i="4"/>
  <c r="N5" i="4"/>
  <c r="N6" i="4"/>
  <c r="N7" i="4"/>
  <c r="N8" i="4"/>
  <c r="N9" i="4"/>
  <c r="N2" i="4"/>
  <c r="M3" i="4"/>
  <c r="M4" i="4"/>
  <c r="M5" i="4"/>
  <c r="M6" i="4"/>
  <c r="M7" i="4"/>
  <c r="M8" i="4"/>
  <c r="M9" i="4"/>
  <c r="M2" i="4"/>
  <c r="N3" i="5"/>
  <c r="N4" i="5"/>
  <c r="N5" i="5"/>
  <c r="N6" i="5"/>
  <c r="N7" i="5"/>
  <c r="N8" i="5"/>
  <c r="N9" i="5"/>
  <c r="N10" i="5"/>
  <c r="N11" i="5"/>
  <c r="N2" i="5"/>
  <c r="M3" i="5"/>
  <c r="M4" i="5"/>
  <c r="M5" i="5"/>
  <c r="M6" i="5"/>
  <c r="M7" i="5"/>
  <c r="M8" i="5"/>
  <c r="M9" i="5"/>
  <c r="M10" i="5"/>
  <c r="M11" i="5"/>
  <c r="M2" i="5"/>
  <c r="N3" i="6"/>
  <c r="N4" i="6"/>
  <c r="N5" i="6"/>
  <c r="N6" i="6"/>
  <c r="N7" i="6"/>
  <c r="N8" i="6"/>
  <c r="N9" i="6"/>
  <c r="N2" i="6"/>
  <c r="M3" i="6"/>
  <c r="M4" i="6"/>
  <c r="M5" i="6"/>
  <c r="M6" i="6"/>
  <c r="M7" i="6"/>
  <c r="M8" i="6"/>
  <c r="M9" i="6"/>
  <c r="M2" i="6"/>
  <c r="N3" i="7"/>
  <c r="N4" i="7"/>
  <c r="N5" i="7"/>
  <c r="N6" i="7"/>
  <c r="N7" i="7"/>
  <c r="N2" i="7"/>
  <c r="M3" i="7"/>
  <c r="M4" i="7"/>
  <c r="M5" i="7"/>
  <c r="M6" i="7"/>
  <c r="M7" i="7"/>
  <c r="M2" i="7"/>
  <c r="N3" i="8"/>
  <c r="N4" i="8"/>
  <c r="N5" i="8"/>
  <c r="N6" i="8"/>
  <c r="N7" i="8"/>
  <c r="N8" i="8"/>
  <c r="N9" i="8"/>
  <c r="N10" i="8"/>
  <c r="N11" i="8"/>
  <c r="N2" i="8"/>
  <c r="M3" i="8"/>
  <c r="M4" i="8"/>
  <c r="M5" i="8"/>
  <c r="M6" i="8"/>
  <c r="M7" i="8"/>
  <c r="M8" i="8"/>
  <c r="M9" i="8"/>
  <c r="M10" i="8"/>
  <c r="M11" i="8"/>
  <c r="M2" i="8"/>
  <c r="N3" i="9"/>
  <c r="N4" i="9"/>
  <c r="N5" i="9"/>
  <c r="N6" i="9"/>
  <c r="N7" i="9"/>
  <c r="N8" i="9"/>
  <c r="N9" i="9"/>
  <c r="N2" i="9"/>
  <c r="M3" i="9"/>
  <c r="M4" i="9"/>
  <c r="M5" i="9"/>
  <c r="M6" i="9"/>
  <c r="M7" i="9"/>
  <c r="M8" i="9"/>
  <c r="M9" i="9"/>
  <c r="M2" i="9"/>
  <c r="N3" i="10"/>
  <c r="N4" i="10"/>
  <c r="N5" i="10"/>
  <c r="N6" i="10"/>
  <c r="N7" i="10"/>
  <c r="N8" i="10"/>
  <c r="N9" i="10"/>
  <c r="N2" i="10"/>
  <c r="M3" i="10"/>
  <c r="M4" i="10"/>
  <c r="M5" i="10"/>
  <c r="M6" i="10"/>
  <c r="M7" i="10"/>
  <c r="M8" i="10"/>
  <c r="M9" i="10"/>
  <c r="M2" i="10"/>
  <c r="L3" i="10"/>
  <c r="L4" i="10"/>
  <c r="L5" i="10"/>
  <c r="L6" i="10"/>
  <c r="L7" i="10"/>
  <c r="L8" i="10"/>
  <c r="L9" i="10"/>
  <c r="L2" i="10"/>
  <c r="K3" i="10"/>
  <c r="K4" i="10"/>
  <c r="K5" i="10"/>
  <c r="K6" i="10"/>
  <c r="K7" i="10"/>
  <c r="K8" i="10"/>
  <c r="K9" i="10"/>
  <c r="K2" i="10"/>
  <c r="L3" i="9"/>
  <c r="L4" i="9"/>
  <c r="L5" i="9"/>
  <c r="L6" i="9"/>
  <c r="L7" i="9"/>
  <c r="L8" i="9"/>
  <c r="L9" i="9"/>
  <c r="L2" i="9"/>
  <c r="K3" i="9"/>
  <c r="K4" i="9"/>
  <c r="K5" i="9"/>
  <c r="K6" i="9"/>
  <c r="K7" i="9"/>
  <c r="K8" i="9"/>
  <c r="K9" i="9"/>
  <c r="K2" i="9"/>
  <c r="L3" i="8"/>
  <c r="L4" i="8"/>
  <c r="L5" i="8"/>
  <c r="L6" i="8"/>
  <c r="L7" i="8"/>
  <c r="L8" i="8"/>
  <c r="L9" i="8"/>
  <c r="L10" i="8"/>
  <c r="L11" i="8"/>
  <c r="L2" i="8"/>
  <c r="K3" i="8"/>
  <c r="K4" i="8"/>
  <c r="K5" i="8"/>
  <c r="K6" i="8"/>
  <c r="K7" i="8"/>
  <c r="K8" i="8"/>
  <c r="K9" i="8"/>
  <c r="K10" i="8"/>
  <c r="K11" i="8"/>
  <c r="K2" i="8"/>
  <c r="L3" i="7"/>
  <c r="L4" i="7"/>
  <c r="L5" i="7"/>
  <c r="L6" i="7"/>
  <c r="L7" i="7"/>
  <c r="L2" i="7"/>
  <c r="K3" i="7"/>
  <c r="K4" i="7"/>
  <c r="K5" i="7"/>
  <c r="K6" i="7"/>
  <c r="K7" i="7"/>
  <c r="K2" i="7"/>
  <c r="L3" i="6"/>
  <c r="L4" i="6"/>
  <c r="L5" i="6"/>
  <c r="L6" i="6"/>
  <c r="L7" i="6"/>
  <c r="L8" i="6"/>
  <c r="L9" i="6"/>
  <c r="L2" i="6"/>
  <c r="K3" i="6"/>
  <c r="K4" i="6"/>
  <c r="K5" i="6"/>
  <c r="K6" i="6"/>
  <c r="K7" i="6"/>
  <c r="K8" i="6"/>
  <c r="K9" i="6"/>
  <c r="K2" i="6"/>
  <c r="L3" i="5"/>
  <c r="L4" i="5"/>
  <c r="L5" i="5"/>
  <c r="L6" i="5"/>
  <c r="L7" i="5"/>
  <c r="L8" i="5"/>
  <c r="L9" i="5"/>
  <c r="L10" i="5"/>
  <c r="L11" i="5"/>
  <c r="L2" i="5"/>
  <c r="K3" i="5"/>
  <c r="K4" i="5"/>
  <c r="K5" i="5"/>
  <c r="K6" i="5"/>
  <c r="K7" i="5"/>
  <c r="K8" i="5"/>
  <c r="K9" i="5"/>
  <c r="K10" i="5"/>
  <c r="K11" i="5"/>
  <c r="K2" i="5"/>
  <c r="L3" i="4"/>
  <c r="L4" i="4"/>
  <c r="L5" i="4"/>
  <c r="L6" i="4"/>
  <c r="L7" i="4"/>
  <c r="L8" i="4"/>
  <c r="L9" i="4"/>
  <c r="L2" i="4"/>
  <c r="K3" i="4"/>
  <c r="K4" i="4"/>
  <c r="K5" i="4"/>
  <c r="K6" i="4"/>
  <c r="K7" i="4"/>
  <c r="K8" i="4"/>
  <c r="K9" i="4"/>
  <c r="K2" i="4"/>
  <c r="L3" i="3"/>
  <c r="L4" i="3"/>
  <c r="L5" i="3"/>
  <c r="L6" i="3"/>
  <c r="L7" i="3"/>
  <c r="L8" i="3"/>
  <c r="L9" i="3"/>
  <c r="L2" i="3"/>
  <c r="K3" i="3"/>
  <c r="K4" i="3"/>
  <c r="K5" i="3"/>
  <c r="K6" i="3"/>
  <c r="K7" i="3"/>
  <c r="K8" i="3"/>
  <c r="K9" i="3"/>
  <c r="K2" i="3"/>
  <c r="L3" i="2"/>
  <c r="L4" i="2"/>
  <c r="L5" i="2"/>
  <c r="L6" i="2"/>
  <c r="L7" i="2"/>
  <c r="L8" i="2"/>
  <c r="L9" i="2"/>
  <c r="L2" i="2"/>
  <c r="K3" i="2"/>
  <c r="K4" i="2"/>
  <c r="K5" i="2"/>
  <c r="K6" i="2"/>
  <c r="K7" i="2"/>
  <c r="K8" i="2"/>
  <c r="K9" i="2"/>
  <c r="K2" i="2"/>
  <c r="L3" i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<sst xmlns="http://schemas.openxmlformats.org/spreadsheetml/2006/main" count="612" uniqueCount="87">
  <si>
    <t>Specimen</t>
    <phoneticPr fontId="1" type="noConversion"/>
  </si>
  <si>
    <t>tickness (mm)</t>
    <phoneticPr fontId="1" type="noConversion"/>
  </si>
  <si>
    <t>width (mm)</t>
    <phoneticPr fontId="1" type="noConversion"/>
  </si>
  <si>
    <t>a0 (mm)</t>
    <phoneticPr fontId="1" type="noConversion"/>
  </si>
  <si>
    <t>G1S1</t>
    <phoneticPr fontId="1" type="noConversion"/>
  </si>
  <si>
    <t>Crack length (mm)</t>
    <phoneticPr fontId="1" type="noConversion"/>
  </si>
  <si>
    <t>Displacement (mm)</t>
    <phoneticPr fontId="1" type="noConversion"/>
  </si>
  <si>
    <t>Load (N)</t>
    <phoneticPr fontId="1" type="noConversion"/>
  </si>
  <si>
    <t>G1S1 (ELS)</t>
    <phoneticPr fontId="1" type="noConversion"/>
  </si>
  <si>
    <t>Pre-crack</t>
    <phoneticPr fontId="1" type="noConversion"/>
  </si>
  <si>
    <t>G3S1</t>
    <phoneticPr fontId="1" type="noConversion"/>
  </si>
  <si>
    <t>G3S1 (ELS)</t>
    <phoneticPr fontId="1" type="noConversion"/>
  </si>
  <si>
    <t>G3S2</t>
    <phoneticPr fontId="1" type="noConversion"/>
  </si>
  <si>
    <t>G3S2 (ELS)</t>
    <phoneticPr fontId="1" type="noConversion"/>
  </si>
  <si>
    <t>G3S3</t>
    <phoneticPr fontId="1" type="noConversion"/>
  </si>
  <si>
    <t>G3S4</t>
    <phoneticPr fontId="1" type="noConversion"/>
  </si>
  <si>
    <t>G3S4 (ELS)</t>
    <phoneticPr fontId="1" type="noConversion"/>
  </si>
  <si>
    <t>G3S3 (ELS)</t>
    <phoneticPr fontId="1" type="noConversion"/>
  </si>
  <si>
    <t>G4S1</t>
    <phoneticPr fontId="1" type="noConversion"/>
  </si>
  <si>
    <t>G4S1 (ELS)</t>
    <phoneticPr fontId="1" type="noConversion"/>
  </si>
  <si>
    <t>G4S2</t>
    <phoneticPr fontId="1" type="noConversion"/>
  </si>
  <si>
    <t>G4S2 (ELS)</t>
    <phoneticPr fontId="1" type="noConversion"/>
  </si>
  <si>
    <t>G4S3</t>
    <phoneticPr fontId="1" type="noConversion"/>
  </si>
  <si>
    <t>G4S3 (ELS)</t>
    <phoneticPr fontId="1" type="noConversion"/>
  </si>
  <si>
    <t>G4S5</t>
    <phoneticPr fontId="1" type="noConversion"/>
  </si>
  <si>
    <t>G4S5 (ELS)</t>
    <phoneticPr fontId="1" type="noConversion"/>
  </si>
  <si>
    <t>G4S4</t>
    <phoneticPr fontId="1" type="noConversion"/>
  </si>
  <si>
    <t>G4S4 (ELS)</t>
    <phoneticPr fontId="1" type="noConversion"/>
  </si>
  <si>
    <t>C=δ/P (mm/N)</t>
    <phoneticPr fontId="1" type="noConversion"/>
  </si>
  <si>
    <t>a^3(mm^3)</t>
    <phoneticPr fontId="1" type="noConversion"/>
  </si>
  <si>
    <t>m</t>
    <phoneticPr fontId="1" type="noConversion"/>
  </si>
  <si>
    <t>C0</t>
    <phoneticPr fontId="1" type="noConversion"/>
  </si>
  <si>
    <r>
      <t>G</t>
    </r>
    <r>
      <rPr>
        <sz val="8"/>
        <color theme="1"/>
        <rFont val="等线"/>
        <family val="3"/>
        <charset val="134"/>
        <scheme val="minor"/>
      </rPr>
      <t>IIC</t>
    </r>
    <r>
      <rPr>
        <sz val="11"/>
        <color theme="1"/>
        <rFont val="等线"/>
        <family val="2"/>
        <scheme val="minor"/>
      </rPr>
      <t xml:space="preserve"> (kJ/m²)</t>
    </r>
    <phoneticPr fontId="1" type="noConversion"/>
  </si>
  <si>
    <r>
      <t>G</t>
    </r>
    <r>
      <rPr>
        <sz val="8"/>
        <color theme="1"/>
        <rFont val="等线"/>
        <family val="3"/>
        <charset val="134"/>
        <scheme val="minor"/>
      </rPr>
      <t>IIC</t>
    </r>
    <r>
      <rPr>
        <sz val="11"/>
        <color theme="1"/>
        <rFont val="等线"/>
        <family val="2"/>
        <scheme val="minor"/>
      </rPr>
      <t xml:space="preserve"> (J/m²)</t>
    </r>
    <phoneticPr fontId="1" type="noConversion"/>
  </si>
  <si>
    <t>G2S1</t>
    <phoneticPr fontId="1" type="noConversion"/>
  </si>
  <si>
    <t>G2S1 (ELS)</t>
    <phoneticPr fontId="1" type="noConversion"/>
  </si>
  <si>
    <t>G2S2</t>
    <phoneticPr fontId="1" type="noConversion"/>
  </si>
  <si>
    <t>G2S2 (ELS)</t>
    <phoneticPr fontId="1" type="noConversion"/>
  </si>
  <si>
    <t>G2S3</t>
    <phoneticPr fontId="1" type="noConversion"/>
  </si>
  <si>
    <t>G2S3 (ELS)</t>
    <phoneticPr fontId="1" type="noConversion"/>
  </si>
  <si>
    <t>G3S5</t>
    <phoneticPr fontId="1" type="noConversion"/>
  </si>
  <si>
    <t>G3S5 (ELS)</t>
    <phoneticPr fontId="1" type="noConversion"/>
  </si>
  <si>
    <t>G3S6</t>
    <phoneticPr fontId="1" type="noConversion"/>
  </si>
  <si>
    <t>G3S6 (ELS)</t>
    <phoneticPr fontId="1" type="noConversion"/>
  </si>
  <si>
    <t>G3S7</t>
    <phoneticPr fontId="1" type="noConversion"/>
  </si>
  <si>
    <t>G3S7 (ELS)</t>
    <phoneticPr fontId="1" type="noConversion"/>
  </si>
  <si>
    <t>G3S8</t>
    <phoneticPr fontId="1" type="noConversion"/>
  </si>
  <si>
    <t>G3S8 (ELS)</t>
    <phoneticPr fontId="1" type="noConversion"/>
  </si>
  <si>
    <t>G3S9</t>
    <phoneticPr fontId="1" type="noConversion"/>
  </si>
  <si>
    <t>G3S9 (ELS)</t>
    <phoneticPr fontId="1" type="noConversion"/>
  </si>
  <si>
    <t>G1S2</t>
    <phoneticPr fontId="1" type="noConversion"/>
  </si>
  <si>
    <t>G1S2 (ELS)</t>
    <phoneticPr fontId="1" type="noConversion"/>
  </si>
  <si>
    <t>G1S3</t>
    <phoneticPr fontId="1" type="noConversion"/>
  </si>
  <si>
    <t>G1S3 (ELS)</t>
    <phoneticPr fontId="1" type="noConversion"/>
  </si>
  <si>
    <t>G1S4</t>
    <phoneticPr fontId="1" type="noConversion"/>
  </si>
  <si>
    <t>G1S4 (ELS)</t>
    <phoneticPr fontId="1" type="noConversion"/>
  </si>
  <si>
    <t>G4S6</t>
    <phoneticPr fontId="1" type="noConversion"/>
  </si>
  <si>
    <t>G4S6 (ELS)</t>
    <phoneticPr fontId="1" type="noConversion"/>
  </si>
  <si>
    <t>G4S7</t>
    <phoneticPr fontId="1" type="noConversion"/>
  </si>
  <si>
    <t>G4S7 (ELS)</t>
    <phoneticPr fontId="1" type="noConversion"/>
  </si>
  <si>
    <t>G4S8</t>
    <phoneticPr fontId="1" type="noConversion"/>
  </si>
  <si>
    <t>G4S8 (ELS)</t>
    <phoneticPr fontId="1" type="noConversion"/>
  </si>
  <si>
    <t>G4S9</t>
    <phoneticPr fontId="1" type="noConversion"/>
  </si>
  <si>
    <t>G4S9 (ELS)</t>
    <phoneticPr fontId="1" type="noConversion"/>
  </si>
  <si>
    <t>G2S4</t>
    <phoneticPr fontId="1" type="noConversion"/>
  </si>
  <si>
    <t>G2S4 (ELS)</t>
    <phoneticPr fontId="1" type="noConversion"/>
  </si>
  <si>
    <t>G2S5</t>
    <phoneticPr fontId="1" type="noConversion"/>
  </si>
  <si>
    <t>G2S5 (ELS)</t>
    <phoneticPr fontId="1" type="noConversion"/>
  </si>
  <si>
    <t>G2S6</t>
    <phoneticPr fontId="1" type="noConversion"/>
  </si>
  <si>
    <t>G2S6 (ELS)</t>
    <phoneticPr fontId="1" type="noConversion"/>
  </si>
  <si>
    <t>G2S7</t>
    <phoneticPr fontId="1" type="noConversion"/>
  </si>
  <si>
    <t>G2S7 (ELS)</t>
    <phoneticPr fontId="1" type="noConversion"/>
  </si>
  <si>
    <t>G2S8</t>
    <phoneticPr fontId="1" type="noConversion"/>
  </si>
  <si>
    <t>G2S8 (ELS)</t>
    <phoneticPr fontId="1" type="noConversion"/>
  </si>
  <si>
    <t>G2S9</t>
    <phoneticPr fontId="1" type="noConversion"/>
  </si>
  <si>
    <t>G2S9 (ELS)</t>
    <phoneticPr fontId="1" type="noConversion"/>
  </si>
  <si>
    <t>G1S5</t>
    <phoneticPr fontId="1" type="noConversion"/>
  </si>
  <si>
    <t>G1S5 (ELS)</t>
    <phoneticPr fontId="1" type="noConversion"/>
  </si>
  <si>
    <t>G1S6</t>
    <phoneticPr fontId="1" type="noConversion"/>
  </si>
  <si>
    <t>G1S6 (ELS)</t>
    <phoneticPr fontId="1" type="noConversion"/>
  </si>
  <si>
    <t>G1S7</t>
    <phoneticPr fontId="1" type="noConversion"/>
  </si>
  <si>
    <t>G1S7 (ELS)</t>
    <phoneticPr fontId="1" type="noConversion"/>
  </si>
  <si>
    <t>G1S8</t>
    <phoneticPr fontId="1" type="noConversion"/>
  </si>
  <si>
    <t>G1S8 (ELS)</t>
    <phoneticPr fontId="1" type="noConversion"/>
  </si>
  <si>
    <t>G1S9</t>
    <phoneticPr fontId="1" type="noConversion"/>
  </si>
  <si>
    <t>G1S9 (ELS)</t>
    <phoneticPr fontId="1" type="noConversion"/>
  </si>
  <si>
    <r>
      <t>G</t>
    </r>
    <r>
      <rPr>
        <sz val="8"/>
        <color theme="1"/>
        <rFont val="等线"/>
        <family val="3"/>
        <charset val="134"/>
        <scheme val="minor"/>
      </rPr>
      <t>IIC,prop</t>
    </r>
    <r>
      <rPr>
        <sz val="11"/>
        <color theme="1"/>
        <rFont val="等线"/>
        <family val="2"/>
        <scheme val="minor"/>
      </rPr>
      <t xml:space="preserve"> (J/m²)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</si>
</sst>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trike/>
      <sz val="11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1" fontId="0" fillId="2" borderId="0" xfId="0" applyNumberForma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11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opLeftCell="H1" workbookViewId="0">
      <selection activeCell="O2" sqref="O2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style="2" bestFit="1" customWidth="1"/>
    <col min="8" max="8" width="16.08203125" style="2" bestFit="1" customWidth="1"/>
    <col min="9" max="9" width="17" style="2" bestFit="1" customWidth="1"/>
    <col min="10" max="10" width="7.9140625" style="2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8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6" x14ac:dyDescent="0.3">
      <c r="A2" s="6" t="s">
        <v>4</v>
      </c>
      <c r="B2" s="6">
        <v>3.88</v>
      </c>
      <c r="C2" s="6">
        <v>24.913</v>
      </c>
      <c r="D2" s="6">
        <v>62</v>
      </c>
      <c r="E2" s="7">
        <v>1.9942E-7</v>
      </c>
      <c r="F2" s="6">
        <v>3.1600000000000003E-2</v>
      </c>
      <c r="G2" s="8" t="s">
        <v>9</v>
      </c>
      <c r="H2" s="8">
        <v>61</v>
      </c>
      <c r="I2" s="8">
        <v>5.32</v>
      </c>
      <c r="J2" s="8">
        <v>128.72999999999999</v>
      </c>
      <c r="K2" s="6">
        <f>I2:I9/J2:J9</f>
        <v>4.1326808047852097E-2</v>
      </c>
      <c r="L2" s="6">
        <f>H2:H9^3</f>
        <v>226981</v>
      </c>
      <c r="M2" s="9">
        <f>(3*0.00000019942*(J2:J9^2)*(H2:H9^2))/(2*24.913)</f>
        <v>0.74037739663754709</v>
      </c>
      <c r="N2" s="6">
        <f>M2:M9*1000</f>
        <v>740.37739663754712</v>
      </c>
      <c r="O2" s="1">
        <f>AVERAGE(N3:N9)</f>
        <v>859.86336387297888</v>
      </c>
      <c r="P2" s="1"/>
    </row>
    <row r="3" spans="1:16" x14ac:dyDescent="0.3">
      <c r="G3" s="2">
        <v>1</v>
      </c>
      <c r="H3" s="2">
        <v>64</v>
      </c>
      <c r="I3" s="2">
        <v>8.31</v>
      </c>
      <c r="J3" s="2">
        <v>140.4</v>
      </c>
      <c r="K3" s="1">
        <f t="shared" ref="K3:K9" si="0">I3:I10/J3:J10</f>
        <v>5.9188034188034186E-2</v>
      </c>
      <c r="L3" s="1">
        <f t="shared" ref="L3:L9" si="1">H3:H10^3</f>
        <v>262144</v>
      </c>
      <c r="M3">
        <f t="shared" ref="M3:M9" si="2">(3*0.00000019942*(J3:J10^2)*(H3:H10^2))/(2*24.913)</f>
        <v>0.96945600817231159</v>
      </c>
      <c r="N3" s="1">
        <f t="shared" ref="N3:N9" si="3">M3:M10*1000</f>
        <v>969.45600817231161</v>
      </c>
      <c r="O3" s="1"/>
      <c r="P3" s="1"/>
    </row>
    <row r="4" spans="1:16" x14ac:dyDescent="0.3">
      <c r="G4" s="2">
        <v>2</v>
      </c>
      <c r="H4" s="2">
        <v>68</v>
      </c>
      <c r="I4" s="2">
        <v>8.68</v>
      </c>
      <c r="J4" s="2">
        <v>126</v>
      </c>
      <c r="K4" s="1">
        <f t="shared" si="0"/>
        <v>6.8888888888888888E-2</v>
      </c>
      <c r="L4" s="1">
        <f t="shared" si="1"/>
        <v>314432</v>
      </c>
      <c r="M4">
        <f t="shared" si="2"/>
        <v>0.88144021021635299</v>
      </c>
      <c r="N4" s="1">
        <f t="shared" si="3"/>
        <v>881.44021021635297</v>
      </c>
      <c r="O4" s="1"/>
      <c r="P4" s="1"/>
    </row>
    <row r="5" spans="1:16" x14ac:dyDescent="0.3">
      <c r="G5" s="2">
        <v>3</v>
      </c>
      <c r="H5" s="2">
        <v>70</v>
      </c>
      <c r="I5" s="2">
        <v>8.93</v>
      </c>
      <c r="J5" s="2">
        <v>118.05</v>
      </c>
      <c r="K5" s="1">
        <f t="shared" si="0"/>
        <v>7.564591274883524E-2</v>
      </c>
      <c r="L5" s="1">
        <f t="shared" si="1"/>
        <v>343000</v>
      </c>
      <c r="M5">
        <f t="shared" si="2"/>
        <v>0.81990211331202589</v>
      </c>
      <c r="N5" s="1">
        <f t="shared" si="3"/>
        <v>819.9021133120259</v>
      </c>
      <c r="O5" s="1"/>
      <c r="P5" s="1"/>
    </row>
    <row r="6" spans="1:16" x14ac:dyDescent="0.3">
      <c r="G6" s="2">
        <v>4</v>
      </c>
      <c r="H6" s="2">
        <v>72</v>
      </c>
      <c r="I6" s="2">
        <v>9.09</v>
      </c>
      <c r="J6" s="2">
        <v>116.7</v>
      </c>
      <c r="K6" s="1">
        <f t="shared" si="0"/>
        <v>7.7892030848329047E-2</v>
      </c>
      <c r="L6" s="1">
        <f t="shared" si="1"/>
        <v>373248</v>
      </c>
      <c r="M6">
        <f t="shared" si="2"/>
        <v>0.84769700335522824</v>
      </c>
      <c r="N6" s="1">
        <f t="shared" si="3"/>
        <v>847.69700335522828</v>
      </c>
      <c r="O6" s="1"/>
      <c r="P6" s="1"/>
    </row>
    <row r="7" spans="1:16" x14ac:dyDescent="0.3">
      <c r="G7" s="2">
        <v>5</v>
      </c>
      <c r="H7" s="2">
        <v>75</v>
      </c>
      <c r="I7" s="2">
        <v>9.32</v>
      </c>
      <c r="J7" s="2">
        <v>110.91</v>
      </c>
      <c r="K7" s="1">
        <f t="shared" si="0"/>
        <v>8.4032098097556587E-2</v>
      </c>
      <c r="L7" s="1">
        <f t="shared" si="1"/>
        <v>421875</v>
      </c>
      <c r="M7">
        <f t="shared" si="2"/>
        <v>0.83080266376934242</v>
      </c>
      <c r="N7" s="1">
        <f t="shared" si="3"/>
        <v>830.80266376934242</v>
      </c>
      <c r="O7" s="1"/>
      <c r="P7" s="1"/>
    </row>
    <row r="8" spans="1:16" x14ac:dyDescent="0.3">
      <c r="G8" s="2">
        <v>6</v>
      </c>
      <c r="H8" s="2">
        <v>80</v>
      </c>
      <c r="I8" s="2">
        <v>9.69</v>
      </c>
      <c r="J8" s="2">
        <v>104</v>
      </c>
      <c r="K8" s="1">
        <f t="shared" si="0"/>
        <v>9.3173076923076914E-2</v>
      </c>
      <c r="L8" s="1">
        <f t="shared" si="1"/>
        <v>512000</v>
      </c>
      <c r="M8">
        <f t="shared" si="2"/>
        <v>0.83115227038092565</v>
      </c>
      <c r="N8" s="1">
        <f t="shared" si="3"/>
        <v>831.15227038092564</v>
      </c>
      <c r="O8" s="1"/>
      <c r="P8" s="1"/>
    </row>
    <row r="9" spans="1:16" x14ac:dyDescent="0.3">
      <c r="G9" s="2">
        <v>7</v>
      </c>
      <c r="H9" s="2">
        <v>84</v>
      </c>
      <c r="I9" s="2">
        <v>10</v>
      </c>
      <c r="J9" s="2">
        <v>99.49</v>
      </c>
      <c r="K9" s="1">
        <f t="shared" si="0"/>
        <v>0.10051261433309881</v>
      </c>
      <c r="L9" s="1">
        <f t="shared" si="1"/>
        <v>592704</v>
      </c>
      <c r="M9">
        <f t="shared" si="2"/>
        <v>0.83859327790466531</v>
      </c>
      <c r="N9" s="1">
        <f t="shared" si="3"/>
        <v>838.59327790466534</v>
      </c>
      <c r="O9" s="1"/>
      <c r="P9" s="1"/>
    </row>
    <row r="10" spans="1:16" x14ac:dyDescent="0.3">
      <c r="K10" s="1"/>
      <c r="L10" s="1"/>
      <c r="M10" s="1"/>
      <c r="N10" s="1"/>
      <c r="O10" s="1"/>
      <c r="P10" s="1"/>
    </row>
    <row r="11" spans="1:16" x14ac:dyDescent="0.3">
      <c r="K11" s="1"/>
      <c r="L11" s="1"/>
      <c r="M11" s="1"/>
      <c r="N11" s="1"/>
      <c r="O11" s="1"/>
      <c r="P11" s="1"/>
    </row>
    <row r="12" spans="1:16" x14ac:dyDescent="0.3">
      <c r="K12" s="1"/>
      <c r="L12" s="1"/>
      <c r="M12" s="1"/>
      <c r="N12" s="1"/>
      <c r="O12" s="1"/>
      <c r="P12" s="1"/>
    </row>
    <row r="13" spans="1:16" x14ac:dyDescent="0.3">
      <c r="K13" s="1"/>
      <c r="L13" s="1"/>
      <c r="M13" s="1"/>
      <c r="N13" s="1"/>
      <c r="O13" s="1"/>
      <c r="P13" s="1"/>
    </row>
    <row r="14" spans="1:16" x14ac:dyDescent="0.3">
      <c r="K14" s="1"/>
      <c r="L14" s="1"/>
      <c r="M14" s="1"/>
      <c r="N14" s="1"/>
      <c r="O14" s="1"/>
      <c r="P14" s="1"/>
    </row>
    <row r="15" spans="1:16" x14ac:dyDescent="0.3">
      <c r="K15" s="1"/>
      <c r="L15" s="1"/>
      <c r="M15" s="1"/>
      <c r="N15" s="1"/>
      <c r="O15" s="1"/>
      <c r="P15" s="1"/>
    </row>
    <row r="16" spans="1:16" x14ac:dyDescent="0.3">
      <c r="K16" s="1"/>
      <c r="L16" s="1"/>
      <c r="M16" s="1"/>
      <c r="N16" s="1"/>
      <c r="O16" s="1"/>
      <c r="P16" s="1"/>
    </row>
    <row r="17" spans="11:16" x14ac:dyDescent="0.3">
      <c r="K17" s="1"/>
      <c r="L17" s="1"/>
      <c r="M17" s="1"/>
      <c r="N17" s="1"/>
      <c r="O17" s="1"/>
      <c r="P17" s="1"/>
    </row>
    <row r="18" spans="11:16" x14ac:dyDescent="0.3">
      <c r="K18" s="1"/>
      <c r="L18" s="1"/>
      <c r="M18" s="1"/>
      <c r="N18" s="1"/>
      <c r="O18" s="1"/>
      <c r="P18" s="1"/>
    </row>
    <row r="19" spans="11:16" x14ac:dyDescent="0.3">
      <c r="K19" s="1"/>
      <c r="L19" s="1"/>
      <c r="M19" s="1"/>
      <c r="N19" s="1"/>
      <c r="O19" s="1"/>
      <c r="P19" s="1"/>
    </row>
    <row r="20" spans="11:16" x14ac:dyDescent="0.3">
      <c r="K20" s="1"/>
      <c r="L20" s="1"/>
      <c r="M20" s="1"/>
      <c r="N20" s="1"/>
      <c r="O20" s="1"/>
      <c r="P20" s="1"/>
    </row>
    <row r="21" spans="11:16" x14ac:dyDescent="0.3">
      <c r="K21" s="1"/>
      <c r="L21" s="1"/>
      <c r="M21" s="1"/>
      <c r="N21" s="1"/>
      <c r="O21" s="1"/>
      <c r="P21" s="1"/>
    </row>
    <row r="22" spans="11:16" x14ac:dyDescent="0.3">
      <c r="K22" s="1"/>
      <c r="L22" s="1"/>
      <c r="M22" s="1"/>
      <c r="N22" s="1"/>
      <c r="O22" s="1"/>
      <c r="P22" s="1"/>
    </row>
    <row r="23" spans="11:16" x14ac:dyDescent="0.3">
      <c r="K23" s="1"/>
      <c r="L23" s="1"/>
      <c r="M23" s="1"/>
      <c r="N23" s="1"/>
      <c r="O23" s="1"/>
      <c r="P23" s="1"/>
    </row>
    <row r="24" spans="11:16" x14ac:dyDescent="0.3">
      <c r="K24" s="1"/>
      <c r="L24" s="1"/>
      <c r="M24" s="1"/>
      <c r="N24" s="1"/>
      <c r="O24" s="1"/>
      <c r="P24" s="1"/>
    </row>
    <row r="25" spans="11:16" x14ac:dyDescent="0.3">
      <c r="K25" s="1"/>
      <c r="L25" s="1"/>
      <c r="M25" s="1"/>
      <c r="N25" s="1"/>
      <c r="O25" s="1"/>
      <c r="P2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225-E024-4618-88C7-24394C27CF6A}">
  <sheetPr>
    <tabColor theme="4" tint="0.59999389629810485"/>
  </sheetPr>
  <dimension ref="A1:O13"/>
  <sheetViews>
    <sheetView topLeftCell="G1" workbookViewId="0">
      <selection activeCell="O2" sqref="O2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51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50</v>
      </c>
      <c r="B2" s="6">
        <v>3.86</v>
      </c>
      <c r="C2" s="6">
        <v>24.93</v>
      </c>
      <c r="D2" s="6">
        <v>68</v>
      </c>
      <c r="E2" s="7">
        <v>6.8907999999999997E-8</v>
      </c>
      <c r="F2" s="6">
        <v>3.5950000000000003E-2</v>
      </c>
      <c r="G2" s="8" t="s">
        <v>9</v>
      </c>
      <c r="H2" s="8">
        <v>68</v>
      </c>
      <c r="I2" s="8">
        <v>5.47</v>
      </c>
      <c r="J2" s="8">
        <v>306.2</v>
      </c>
      <c r="K2" s="6">
        <f>I2:I9/J2:J9</f>
        <v>1.7864141084258656E-2</v>
      </c>
      <c r="L2" s="6">
        <f>H2:H9^3</f>
        <v>314432</v>
      </c>
      <c r="M2" s="9">
        <f>(3*0.000000068908*(J2:J9^2)*(H2:H9^2))/(2*24.93)</f>
        <v>1.7974914104811357</v>
      </c>
      <c r="N2" s="6">
        <f>M2:M9*1000</f>
        <v>1797.4914104811357</v>
      </c>
      <c r="O2">
        <f>AVERAGE(N3:N13)</f>
        <v>446.64972919605549</v>
      </c>
    </row>
    <row r="3" spans="1:15" x14ac:dyDescent="0.3">
      <c r="G3" s="1">
        <v>1</v>
      </c>
      <c r="H3" s="1">
        <v>70</v>
      </c>
      <c r="I3" s="1">
        <v>8.77</v>
      </c>
      <c r="J3" s="1">
        <v>146.19999999999999</v>
      </c>
      <c r="K3" s="1">
        <f t="shared" ref="K3:K13" si="0">I3:I10/J3:J10</f>
        <v>5.9986320109439127E-2</v>
      </c>
      <c r="L3" s="1">
        <f t="shared" ref="L3:L13" si="1">H3:H10^3</f>
        <v>343000</v>
      </c>
      <c r="M3">
        <f t="shared" ref="M3:M13" si="2">(3*0.000000068908*(J3:J10^2)*(H3:H10^2))/(2*24.93)</f>
        <v>0.43423962493670271</v>
      </c>
      <c r="N3" s="1">
        <f t="shared" ref="N3:N13" si="3">M3:M10*1000</f>
        <v>434.23962493670268</v>
      </c>
    </row>
    <row r="4" spans="1:15" x14ac:dyDescent="0.3">
      <c r="G4" s="1">
        <v>2</v>
      </c>
      <c r="H4" s="1">
        <v>72</v>
      </c>
      <c r="I4" s="1">
        <v>8.93</v>
      </c>
      <c r="J4" s="1">
        <v>144.69999999999999</v>
      </c>
      <c r="K4" s="1">
        <f t="shared" si="0"/>
        <v>6.1713890808569455E-2</v>
      </c>
      <c r="L4" s="1">
        <f t="shared" si="1"/>
        <v>373248</v>
      </c>
      <c r="M4">
        <f t="shared" si="2"/>
        <v>0.45002918647728518</v>
      </c>
      <c r="N4" s="1">
        <f t="shared" si="3"/>
        <v>450.02918647728518</v>
      </c>
    </row>
    <row r="5" spans="1:15" x14ac:dyDescent="0.3">
      <c r="G5" s="1">
        <v>3</v>
      </c>
      <c r="H5" s="1">
        <v>74</v>
      </c>
      <c r="I5" s="1">
        <v>9.0500000000000007</v>
      </c>
      <c r="J5" s="1">
        <v>139.5</v>
      </c>
      <c r="K5" s="1">
        <f t="shared" si="0"/>
        <v>6.4874551971326175E-2</v>
      </c>
      <c r="L5" s="1">
        <f t="shared" si="1"/>
        <v>405224</v>
      </c>
      <c r="M5">
        <f t="shared" si="2"/>
        <v>0.44182519751696742</v>
      </c>
      <c r="N5" s="1">
        <f t="shared" si="3"/>
        <v>441.82519751696742</v>
      </c>
    </row>
    <row r="6" spans="1:15" x14ac:dyDescent="0.3">
      <c r="G6" s="1">
        <v>4</v>
      </c>
      <c r="H6" s="1">
        <v>77</v>
      </c>
      <c r="I6" s="1">
        <v>9.11</v>
      </c>
      <c r="J6" s="1">
        <v>136.1</v>
      </c>
      <c r="K6" s="1">
        <f t="shared" si="0"/>
        <v>6.6936076414401177E-2</v>
      </c>
      <c r="L6" s="1">
        <f t="shared" si="1"/>
        <v>456533</v>
      </c>
      <c r="M6">
        <f t="shared" si="2"/>
        <v>0.45534054848963418</v>
      </c>
      <c r="N6" s="1">
        <f t="shared" si="3"/>
        <v>455.34054848963416</v>
      </c>
    </row>
    <row r="7" spans="1:15" x14ac:dyDescent="0.3">
      <c r="G7" s="1">
        <v>5</v>
      </c>
      <c r="H7" s="1">
        <v>81</v>
      </c>
      <c r="I7" s="1">
        <v>9.1999999999999993</v>
      </c>
      <c r="J7" s="1">
        <v>130.9</v>
      </c>
      <c r="K7" s="1">
        <f t="shared" si="0"/>
        <v>7.0282658517952623E-2</v>
      </c>
      <c r="L7" s="1">
        <f t="shared" si="1"/>
        <v>531441</v>
      </c>
      <c r="M7">
        <f t="shared" si="2"/>
        <v>0.46610950200699641</v>
      </c>
      <c r="N7" s="1">
        <f t="shared" si="3"/>
        <v>466.10950200699642</v>
      </c>
    </row>
    <row r="8" spans="1:15" x14ac:dyDescent="0.3">
      <c r="G8" s="1">
        <v>6</v>
      </c>
      <c r="H8" s="1">
        <v>83</v>
      </c>
      <c r="I8" s="1">
        <v>9.58</v>
      </c>
      <c r="J8" s="1">
        <v>126.6</v>
      </c>
      <c r="K8" s="1">
        <f t="shared" si="0"/>
        <v>7.5671406003159566E-2</v>
      </c>
      <c r="L8" s="1">
        <f t="shared" si="1"/>
        <v>571787</v>
      </c>
      <c r="M8">
        <f t="shared" si="2"/>
        <v>0.45778569932387003</v>
      </c>
      <c r="N8" s="1">
        <f t="shared" si="3"/>
        <v>457.78569932387001</v>
      </c>
    </row>
    <row r="9" spans="1:15" x14ac:dyDescent="0.3">
      <c r="G9" s="1">
        <v>7</v>
      </c>
      <c r="H9" s="1">
        <v>87</v>
      </c>
      <c r="I9" s="1">
        <v>9.75</v>
      </c>
      <c r="J9" s="1">
        <v>120</v>
      </c>
      <c r="K9" s="1">
        <f t="shared" si="0"/>
        <v>8.1250000000000003E-2</v>
      </c>
      <c r="L9" s="1">
        <f t="shared" si="1"/>
        <v>658503</v>
      </c>
      <c r="M9">
        <f t="shared" si="2"/>
        <v>0.45189717140794228</v>
      </c>
      <c r="N9" s="1">
        <f t="shared" si="3"/>
        <v>451.89717140794227</v>
      </c>
    </row>
    <row r="10" spans="1:15" x14ac:dyDescent="0.3">
      <c r="G10" s="1">
        <v>8</v>
      </c>
      <c r="H10" s="1">
        <v>91</v>
      </c>
      <c r="I10" s="1">
        <v>9.94</v>
      </c>
      <c r="J10" s="1">
        <v>113.32</v>
      </c>
      <c r="K10" s="1">
        <f t="shared" si="0"/>
        <v>8.77162019061066E-2</v>
      </c>
      <c r="L10" s="1">
        <f t="shared" si="1"/>
        <v>753571</v>
      </c>
      <c r="M10">
        <f t="shared" si="2"/>
        <v>0.44089435862667348</v>
      </c>
      <c r="N10" s="1">
        <f t="shared" si="3"/>
        <v>440.89435862667347</v>
      </c>
    </row>
    <row r="11" spans="1:15" x14ac:dyDescent="0.3">
      <c r="G11" s="1">
        <v>9</v>
      </c>
      <c r="H11" s="1">
        <v>93</v>
      </c>
      <c r="I11" s="1">
        <v>10.09</v>
      </c>
      <c r="J11" s="1">
        <v>109.9</v>
      </c>
      <c r="K11" s="1">
        <f t="shared" si="0"/>
        <v>9.1810737033666961E-2</v>
      </c>
      <c r="L11" s="1">
        <f t="shared" si="1"/>
        <v>804357</v>
      </c>
      <c r="M11">
        <f t="shared" si="2"/>
        <v>0.43311169173459213</v>
      </c>
      <c r="N11" s="1">
        <f t="shared" si="3"/>
        <v>433.11169173459211</v>
      </c>
    </row>
    <row r="12" spans="1:15" x14ac:dyDescent="0.3">
      <c r="G12" s="1">
        <v>10</v>
      </c>
      <c r="H12" s="1">
        <v>94</v>
      </c>
      <c r="I12" s="1">
        <v>10.39</v>
      </c>
      <c r="J12" s="1">
        <v>108.8</v>
      </c>
      <c r="K12" s="1">
        <f t="shared" si="0"/>
        <v>9.5496323529411772E-2</v>
      </c>
      <c r="L12" s="1">
        <f t="shared" si="1"/>
        <v>830584</v>
      </c>
      <c r="M12">
        <f t="shared" si="2"/>
        <v>0.43366275402735976</v>
      </c>
      <c r="N12" s="1">
        <f t="shared" si="3"/>
        <v>433.66275402735977</v>
      </c>
    </row>
    <row r="13" spans="1:15" x14ac:dyDescent="0.3">
      <c r="G13" s="1">
        <v>11</v>
      </c>
      <c r="H13" s="1">
        <v>98</v>
      </c>
      <c r="I13" s="1">
        <v>10.54</v>
      </c>
      <c r="J13" s="1">
        <v>106.1</v>
      </c>
      <c r="K13" s="1">
        <f t="shared" si="0"/>
        <v>9.9340245051837889E-2</v>
      </c>
      <c r="L13" s="1">
        <f t="shared" si="1"/>
        <v>941192</v>
      </c>
      <c r="M13">
        <f t="shared" si="2"/>
        <v>0.44825128660858721</v>
      </c>
      <c r="N13" s="1">
        <f t="shared" si="3"/>
        <v>448.25128660858718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FD16-C115-4DB8-800C-C6F9F0017634}">
  <sheetPr>
    <tabColor theme="4" tint="0.59999389629810485"/>
  </sheetPr>
  <dimension ref="A1:O10"/>
  <sheetViews>
    <sheetView topLeftCell="F1" workbookViewId="0">
      <selection activeCell="N2" sqref="N2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53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52</v>
      </c>
      <c r="B2" s="6">
        <v>3.82</v>
      </c>
      <c r="C2" s="6">
        <v>24.885000000000002</v>
      </c>
      <c r="D2" s="6">
        <v>67</v>
      </c>
      <c r="E2" s="7">
        <v>6.71365E-8</v>
      </c>
      <c r="F2" s="6">
        <v>3.6799999999999999E-2</v>
      </c>
      <c r="G2" s="8" t="s">
        <v>9</v>
      </c>
      <c r="H2" s="8">
        <v>67</v>
      </c>
      <c r="I2" s="8">
        <v>5.46</v>
      </c>
      <c r="J2" s="8">
        <v>315.60000000000002</v>
      </c>
      <c r="K2" s="6">
        <f>I2:I9/J2:J9</f>
        <v>1.7300380228136882E-2</v>
      </c>
      <c r="L2" s="6">
        <f>H2:H9^3</f>
        <v>300763</v>
      </c>
      <c r="M2" s="9">
        <f>(3*0.0000000671365*(J2:J9^2)*(H2:H9^2))/(2*24.885)</f>
        <v>1.8094054956669656</v>
      </c>
      <c r="N2" s="6">
        <f>M2:M9*1000</f>
        <v>1809.4054956669656</v>
      </c>
      <c r="O2">
        <f>AVERAGE(N3:N9)</f>
        <v>398.08276397534058</v>
      </c>
    </row>
    <row r="3" spans="1:15" x14ac:dyDescent="0.3">
      <c r="G3" s="1">
        <v>1</v>
      </c>
      <c r="H3" s="1">
        <v>72</v>
      </c>
      <c r="I3" s="1">
        <v>8.31</v>
      </c>
      <c r="J3" s="1">
        <v>142.4</v>
      </c>
      <c r="K3" s="1">
        <f t="shared" ref="K3:K9" si="0">I3:I10/J3:J10</f>
        <v>5.8356741573033707E-2</v>
      </c>
      <c r="L3" s="1">
        <f t="shared" ref="L3:L9" si="1">H3:H10^3</f>
        <v>373248</v>
      </c>
      <c r="M3">
        <f t="shared" ref="M3:M9" si="2">(3*0.0000000671365*(J3:J10^2)*(H3:H10^2))/(2*24.885)</f>
        <v>0.42539980064497646</v>
      </c>
      <c r="N3" s="1">
        <f t="shared" ref="N3:N9" si="3">M3:M10*1000</f>
        <v>425.39980064497644</v>
      </c>
    </row>
    <row r="4" spans="1:15" x14ac:dyDescent="0.3">
      <c r="G4" s="1">
        <v>2</v>
      </c>
      <c r="H4" s="1">
        <v>78</v>
      </c>
      <c r="I4" s="1">
        <v>8.73</v>
      </c>
      <c r="J4" s="1">
        <v>128</v>
      </c>
      <c r="K4" s="1">
        <f t="shared" si="0"/>
        <v>6.8203125000000003E-2</v>
      </c>
      <c r="L4" s="1">
        <f t="shared" si="1"/>
        <v>474552</v>
      </c>
      <c r="M4">
        <f t="shared" si="2"/>
        <v>0.4033865887247739</v>
      </c>
      <c r="N4" s="1">
        <f t="shared" si="3"/>
        <v>403.3865887247739</v>
      </c>
    </row>
    <row r="5" spans="1:15" x14ac:dyDescent="0.3">
      <c r="G5" s="1">
        <v>3</v>
      </c>
      <c r="H5" s="1">
        <v>81</v>
      </c>
      <c r="I5" s="1">
        <v>8.93</v>
      </c>
      <c r="J5" s="1">
        <v>120.2</v>
      </c>
      <c r="K5" s="1">
        <f t="shared" si="0"/>
        <v>7.4292845257903486E-2</v>
      </c>
      <c r="L5" s="1">
        <f t="shared" si="1"/>
        <v>531441</v>
      </c>
      <c r="M5">
        <f t="shared" si="2"/>
        <v>0.38361120461573595</v>
      </c>
      <c r="N5" s="1">
        <f t="shared" si="3"/>
        <v>383.61120461573597</v>
      </c>
    </row>
    <row r="6" spans="1:15" x14ac:dyDescent="0.3">
      <c r="G6" s="1">
        <v>4</v>
      </c>
      <c r="H6" s="1">
        <v>82</v>
      </c>
      <c r="I6" s="1">
        <v>9.07</v>
      </c>
      <c r="J6" s="1">
        <v>116.21</v>
      </c>
      <c r="K6" s="1">
        <f t="shared" si="0"/>
        <v>7.8048360726271415E-2</v>
      </c>
      <c r="L6" s="1">
        <f t="shared" si="1"/>
        <v>551368</v>
      </c>
      <c r="M6">
        <f t="shared" si="2"/>
        <v>0.36747433928738066</v>
      </c>
      <c r="N6" s="1">
        <f t="shared" si="3"/>
        <v>367.47433928738064</v>
      </c>
    </row>
    <row r="7" spans="1:15" x14ac:dyDescent="0.3">
      <c r="G7" s="1">
        <v>5</v>
      </c>
      <c r="H7" s="1">
        <v>88</v>
      </c>
      <c r="I7" s="1">
        <v>9.34</v>
      </c>
      <c r="J7" s="1">
        <v>113.05</v>
      </c>
      <c r="K7" s="1">
        <f t="shared" si="0"/>
        <v>8.2618310482087579E-2</v>
      </c>
      <c r="L7" s="1">
        <f t="shared" si="1"/>
        <v>681472</v>
      </c>
      <c r="M7">
        <f t="shared" si="2"/>
        <v>0.40051500222781433</v>
      </c>
      <c r="N7" s="1">
        <f t="shared" si="3"/>
        <v>400.51500222781431</v>
      </c>
    </row>
    <row r="8" spans="1:15" x14ac:dyDescent="0.3">
      <c r="G8" s="1">
        <v>6</v>
      </c>
      <c r="H8" s="1">
        <v>92</v>
      </c>
      <c r="I8" s="1">
        <v>9.5399999999999991</v>
      </c>
      <c r="J8" s="1">
        <v>107.5</v>
      </c>
      <c r="K8" s="1">
        <f t="shared" si="0"/>
        <v>8.8744186046511617E-2</v>
      </c>
      <c r="L8" s="1">
        <f t="shared" si="1"/>
        <v>778688</v>
      </c>
      <c r="M8">
        <f t="shared" si="2"/>
        <v>0.39582652511452682</v>
      </c>
      <c r="N8" s="1">
        <f t="shared" si="3"/>
        <v>395.82652511452682</v>
      </c>
    </row>
    <row r="9" spans="1:15" x14ac:dyDescent="0.3">
      <c r="G9" s="1">
        <v>7</v>
      </c>
      <c r="H9" s="1">
        <v>95</v>
      </c>
      <c r="I9" s="1">
        <v>9.81</v>
      </c>
      <c r="J9" s="1">
        <v>106</v>
      </c>
      <c r="K9" s="1">
        <f t="shared" si="0"/>
        <v>9.2547169811320759E-2</v>
      </c>
      <c r="L9" s="1">
        <f t="shared" si="1"/>
        <v>857375</v>
      </c>
      <c r="M9">
        <f t="shared" si="2"/>
        <v>0.41036588721217593</v>
      </c>
      <c r="N9" s="1">
        <f t="shared" si="3"/>
        <v>410.36588721217595</v>
      </c>
    </row>
    <row r="10" spans="1:15" x14ac:dyDescent="0.3">
      <c r="G10" s="1"/>
      <c r="H10" s="1"/>
      <c r="I10" s="1"/>
      <c r="J1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060F-DAE9-463E-8E8B-D023A731EE72}">
  <sheetPr>
    <tabColor theme="4" tint="0.59999389629810485"/>
  </sheetPr>
  <dimension ref="A1:O10"/>
  <sheetViews>
    <sheetView topLeftCell="F1" workbookViewId="0">
      <selection activeCell="O2" sqref="O2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55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54</v>
      </c>
      <c r="B2" s="6">
        <v>3.83</v>
      </c>
      <c r="C2" s="6">
        <v>24.87</v>
      </c>
      <c r="D2" s="6">
        <v>66</v>
      </c>
      <c r="E2" s="7">
        <v>7.45502E-8</v>
      </c>
      <c r="F2" s="6">
        <v>3.4340000000000002E-2</v>
      </c>
      <c r="G2" s="8" t="s">
        <v>9</v>
      </c>
      <c r="H2" s="8">
        <v>66</v>
      </c>
      <c r="I2" s="8">
        <v>5.23</v>
      </c>
      <c r="J2" s="8">
        <v>292.7</v>
      </c>
      <c r="K2" s="6">
        <f>I2:I9/J2:J9</f>
        <v>1.7868124359412371E-2</v>
      </c>
      <c r="L2" s="6">
        <f>H2:H9^3</f>
        <v>287496</v>
      </c>
      <c r="M2" s="9">
        <f>(3*0.0000000745502*(J2:J9^2)*(H2:H9^2))/(2*24.87)</f>
        <v>1.6780218153505575</v>
      </c>
      <c r="N2" s="6">
        <f>M2:M9*1000</f>
        <v>1678.0218153505575</v>
      </c>
      <c r="O2">
        <f>AVERAGE(N3:N10)</f>
        <v>484.10451677533564</v>
      </c>
    </row>
    <row r="3" spans="1:15" x14ac:dyDescent="0.3">
      <c r="G3" s="1">
        <v>1</v>
      </c>
      <c r="H3" s="1">
        <v>72</v>
      </c>
      <c r="I3" s="1">
        <v>9.02</v>
      </c>
      <c r="J3" s="1">
        <v>149.76</v>
      </c>
      <c r="K3" s="1">
        <f t="shared" ref="K3:K10" si="0">I3:I10/J3:J10</f>
        <v>6.0229700854700856E-2</v>
      </c>
      <c r="L3" s="1">
        <f t="shared" ref="L3:L10" si="1">H3:H10^3</f>
        <v>373248</v>
      </c>
      <c r="M3">
        <f t="shared" ref="M3:M10" si="2">(3*0.0000000745502*(J3:J10^2)*(H3:H10^2))/(2*24.87)</f>
        <v>0.52278238091199258</v>
      </c>
      <c r="N3" s="1">
        <f t="shared" ref="N3:N10" si="3">M3:M10*1000</f>
        <v>522.78238091199262</v>
      </c>
    </row>
    <row r="4" spans="1:15" x14ac:dyDescent="0.3">
      <c r="G4" s="1">
        <v>2</v>
      </c>
      <c r="H4" s="1">
        <v>73</v>
      </c>
      <c r="I4" s="1">
        <v>9.1300000000000008</v>
      </c>
      <c r="J4" s="1">
        <v>144.4</v>
      </c>
      <c r="K4" s="1">
        <f t="shared" si="0"/>
        <v>6.3227146814404431E-2</v>
      </c>
      <c r="L4" s="1">
        <f t="shared" si="1"/>
        <v>389017</v>
      </c>
      <c r="M4">
        <f t="shared" si="2"/>
        <v>0.49962526704049987</v>
      </c>
      <c r="N4" s="1">
        <f t="shared" si="3"/>
        <v>499.62526704049986</v>
      </c>
    </row>
    <row r="5" spans="1:15" x14ac:dyDescent="0.3">
      <c r="G5" s="1">
        <v>3</v>
      </c>
      <c r="H5" s="1">
        <v>74</v>
      </c>
      <c r="I5" s="1">
        <v>9.2100000000000009</v>
      </c>
      <c r="J5" s="1">
        <v>136.80000000000001</v>
      </c>
      <c r="K5" s="1">
        <f t="shared" si="0"/>
        <v>6.7324561403508773E-2</v>
      </c>
      <c r="L5" s="1">
        <f t="shared" si="1"/>
        <v>405224</v>
      </c>
      <c r="M5">
        <f t="shared" si="2"/>
        <v>0.46078668477850715</v>
      </c>
      <c r="N5" s="1">
        <f t="shared" si="3"/>
        <v>460.78668477850715</v>
      </c>
    </row>
    <row r="6" spans="1:15" x14ac:dyDescent="0.3">
      <c r="G6" s="1">
        <v>4</v>
      </c>
      <c r="H6" s="1">
        <v>80</v>
      </c>
      <c r="I6" s="1">
        <v>9.2899999999999991</v>
      </c>
      <c r="J6" s="1">
        <v>131.1</v>
      </c>
      <c r="K6" s="1">
        <f t="shared" si="0"/>
        <v>7.0861937452326468E-2</v>
      </c>
      <c r="L6" s="1">
        <f t="shared" si="1"/>
        <v>512000</v>
      </c>
      <c r="M6">
        <f t="shared" si="2"/>
        <v>0.49459491163020503</v>
      </c>
      <c r="N6" s="1">
        <f t="shared" si="3"/>
        <v>494.59491163020505</v>
      </c>
    </row>
    <row r="7" spans="1:15" x14ac:dyDescent="0.3">
      <c r="G7" s="1">
        <v>5</v>
      </c>
      <c r="H7" s="1">
        <v>85</v>
      </c>
      <c r="I7" s="1">
        <v>9.76</v>
      </c>
      <c r="J7" s="1">
        <v>122.2</v>
      </c>
      <c r="K7" s="1">
        <f t="shared" si="0"/>
        <v>7.9869067103109648E-2</v>
      </c>
      <c r="L7" s="1">
        <f t="shared" si="1"/>
        <v>614125</v>
      </c>
      <c r="M7">
        <f t="shared" si="2"/>
        <v>0.48511482852254523</v>
      </c>
      <c r="N7" s="1">
        <f t="shared" si="3"/>
        <v>485.11482852254522</v>
      </c>
    </row>
    <row r="8" spans="1:15" x14ac:dyDescent="0.3">
      <c r="G8" s="1">
        <v>6</v>
      </c>
      <c r="H8" s="1">
        <v>88</v>
      </c>
      <c r="I8" s="1">
        <v>10.06</v>
      </c>
      <c r="J8" s="1">
        <v>117.2</v>
      </c>
      <c r="K8" s="1">
        <f t="shared" si="0"/>
        <v>8.5836177474402739E-2</v>
      </c>
      <c r="L8" s="1">
        <f t="shared" si="1"/>
        <v>681472</v>
      </c>
      <c r="M8">
        <f t="shared" si="2"/>
        <v>0.47828290053299105</v>
      </c>
      <c r="N8" s="1">
        <f t="shared" si="3"/>
        <v>478.28290053299105</v>
      </c>
    </row>
    <row r="9" spans="1:15" x14ac:dyDescent="0.3">
      <c r="G9" s="1">
        <v>7</v>
      </c>
      <c r="H9" s="1">
        <v>90</v>
      </c>
      <c r="I9" s="1">
        <v>10.19</v>
      </c>
      <c r="J9" s="1">
        <v>112.5</v>
      </c>
      <c r="K9" s="1">
        <f t="shared" si="0"/>
        <v>9.0577777777777771E-2</v>
      </c>
      <c r="L9" s="1">
        <f t="shared" si="1"/>
        <v>729000</v>
      </c>
      <c r="M9">
        <f t="shared" si="2"/>
        <v>0.46095056374396864</v>
      </c>
      <c r="N9" s="1">
        <f t="shared" si="3"/>
        <v>460.95056374396864</v>
      </c>
    </row>
    <row r="10" spans="1:15" x14ac:dyDescent="0.3">
      <c r="G10" s="1">
        <v>8</v>
      </c>
      <c r="H10" s="1">
        <v>95</v>
      </c>
      <c r="I10" s="1">
        <v>10.43</v>
      </c>
      <c r="J10" s="1">
        <v>107.7</v>
      </c>
      <c r="K10" s="1">
        <f t="shared" si="0"/>
        <v>9.68430826369545E-2</v>
      </c>
      <c r="L10" s="1">
        <f t="shared" si="1"/>
        <v>857375</v>
      </c>
      <c r="M10">
        <f t="shared" si="2"/>
        <v>0.47069859704197536</v>
      </c>
      <c r="N10" s="1">
        <f t="shared" si="3"/>
        <v>470.69859704197535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9161-AC88-4A79-ADA7-4E0B8890A6FC}">
  <dimension ref="A1:O12"/>
  <sheetViews>
    <sheetView topLeftCell="F1"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77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76</v>
      </c>
      <c r="B2" s="6">
        <v>3.8933</v>
      </c>
      <c r="C2" s="6">
        <v>24.9</v>
      </c>
      <c r="D2" s="6">
        <v>64</v>
      </c>
      <c r="E2" s="7">
        <v>6.74909E-8</v>
      </c>
      <c r="F2" s="6">
        <v>3.6630000000000003E-2</v>
      </c>
      <c r="G2" s="8" t="s">
        <v>9</v>
      </c>
      <c r="H2" s="8">
        <v>64</v>
      </c>
      <c r="I2" s="8">
        <v>5.617</v>
      </c>
      <c r="J2" s="8">
        <v>313.2</v>
      </c>
      <c r="K2" s="6">
        <f>I2:I9/J2:J9</f>
        <v>1.7934227330779054E-2</v>
      </c>
      <c r="L2" s="6">
        <f>H2:H9^3</f>
        <v>262144</v>
      </c>
      <c r="M2" s="9">
        <f>(3*0.0000000674909*(J2:J9^2)*(H2:H9^2))/(2*24.9)</f>
        <v>1.6335806716708392</v>
      </c>
      <c r="N2" s="6">
        <f>M2:M9*1000</f>
        <v>1633.5806716708391</v>
      </c>
      <c r="O2">
        <f>AVERAGE(N3:N12)</f>
        <v>412.76019829516281</v>
      </c>
    </row>
    <row r="3" spans="1:15" x14ac:dyDescent="0.3">
      <c r="G3" s="1">
        <v>1</v>
      </c>
      <c r="H3" s="1">
        <v>68</v>
      </c>
      <c r="I3" s="1">
        <v>8.49</v>
      </c>
      <c r="J3" s="1">
        <v>144.5</v>
      </c>
      <c r="K3" s="1">
        <f t="shared" ref="K3:K12" si="0">I3:I10/J3:J10</f>
        <v>5.8754325259515572E-2</v>
      </c>
      <c r="L3" s="1">
        <f t="shared" ref="L3:L12" si="1">H3:H10^3</f>
        <v>314432</v>
      </c>
      <c r="M3">
        <f t="shared" ref="M3:M12" si="2">(3*0.0000000674909*(J3:J10^2)*(H3:H10^2))/(2*24.9)</f>
        <v>0.39254608569207222</v>
      </c>
      <c r="N3" s="1">
        <f t="shared" ref="N3:N12" si="3">M3:M10*1000</f>
        <v>392.54608569207221</v>
      </c>
    </row>
    <row r="4" spans="1:15" x14ac:dyDescent="0.3">
      <c r="G4" s="1">
        <v>2</v>
      </c>
      <c r="H4" s="1">
        <v>74</v>
      </c>
      <c r="I4" s="1">
        <v>8.69</v>
      </c>
      <c r="J4" s="1">
        <v>136</v>
      </c>
      <c r="K4" s="1">
        <f t="shared" si="0"/>
        <v>6.3897058823529404E-2</v>
      </c>
      <c r="L4" s="1">
        <f t="shared" si="1"/>
        <v>405224</v>
      </c>
      <c r="M4">
        <f t="shared" si="2"/>
        <v>0.41179245751363863</v>
      </c>
      <c r="N4" s="1">
        <f t="shared" si="3"/>
        <v>411.79245751363862</v>
      </c>
    </row>
    <row r="5" spans="1:15" x14ac:dyDescent="0.3">
      <c r="G5" s="1">
        <v>3</v>
      </c>
      <c r="H5" s="1">
        <v>76</v>
      </c>
      <c r="I5" s="1">
        <v>8.81</v>
      </c>
      <c r="J5" s="1">
        <v>131.69999999999999</v>
      </c>
      <c r="K5" s="1">
        <f t="shared" si="0"/>
        <v>6.6894457099468493E-2</v>
      </c>
      <c r="L5" s="1">
        <f t="shared" si="1"/>
        <v>438976</v>
      </c>
      <c r="M5">
        <f t="shared" si="2"/>
        <v>0.40732012277287799</v>
      </c>
      <c r="N5" s="1">
        <f t="shared" si="3"/>
        <v>407.32012277287799</v>
      </c>
    </row>
    <row r="6" spans="1:15" x14ac:dyDescent="0.3">
      <c r="G6" s="1">
        <v>4</v>
      </c>
      <c r="H6" s="1">
        <v>78</v>
      </c>
      <c r="I6" s="1">
        <v>8.9499999999999993</v>
      </c>
      <c r="J6" s="1">
        <v>129.9</v>
      </c>
      <c r="K6" s="1">
        <f t="shared" si="0"/>
        <v>6.8899153194765195E-2</v>
      </c>
      <c r="L6" s="1">
        <f t="shared" si="1"/>
        <v>474552</v>
      </c>
      <c r="M6">
        <f t="shared" si="2"/>
        <v>0.41739249802775641</v>
      </c>
      <c r="N6" s="1">
        <f t="shared" si="3"/>
        <v>417.3924980277564</v>
      </c>
    </row>
    <row r="7" spans="1:15" x14ac:dyDescent="0.3">
      <c r="G7" s="1">
        <v>5</v>
      </c>
      <c r="H7" s="1">
        <v>82</v>
      </c>
      <c r="I7" s="1">
        <v>9.1</v>
      </c>
      <c r="J7" s="1">
        <v>126.9</v>
      </c>
      <c r="K7" s="1">
        <f t="shared" si="0"/>
        <v>7.1710007880220639E-2</v>
      </c>
      <c r="L7" s="1">
        <f t="shared" si="1"/>
        <v>551368</v>
      </c>
      <c r="M7">
        <f t="shared" si="2"/>
        <v>0.44023856123914917</v>
      </c>
      <c r="N7" s="1">
        <f t="shared" si="3"/>
        <v>440.23856123914919</v>
      </c>
    </row>
    <row r="8" spans="1:15" x14ac:dyDescent="0.3">
      <c r="G8" s="1">
        <v>6</v>
      </c>
      <c r="H8" s="1">
        <v>87</v>
      </c>
      <c r="I8" s="1">
        <v>9.39</v>
      </c>
      <c r="J8" s="1">
        <v>115.6</v>
      </c>
      <c r="K8" s="1">
        <f t="shared" si="0"/>
        <v>8.1228373702422155E-2</v>
      </c>
      <c r="L8" s="1">
        <f t="shared" si="1"/>
        <v>658503</v>
      </c>
      <c r="M8">
        <f t="shared" si="2"/>
        <v>0.41123616921844913</v>
      </c>
      <c r="N8" s="1">
        <f t="shared" si="3"/>
        <v>411.23616921844911</v>
      </c>
    </row>
    <row r="9" spans="1:15" x14ac:dyDescent="0.3">
      <c r="G9" s="1">
        <v>7</v>
      </c>
      <c r="H9" s="1">
        <v>89</v>
      </c>
      <c r="I9" s="1">
        <v>9.5</v>
      </c>
      <c r="J9" s="1">
        <v>113.6</v>
      </c>
      <c r="K9" s="1">
        <f t="shared" si="0"/>
        <v>8.3626760563380281E-2</v>
      </c>
      <c r="L9" s="1">
        <f t="shared" si="1"/>
        <v>704969</v>
      </c>
      <c r="M9">
        <f t="shared" si="2"/>
        <v>0.41559834319805683</v>
      </c>
      <c r="N9" s="1">
        <f t="shared" si="3"/>
        <v>415.59834319805685</v>
      </c>
    </row>
    <row r="10" spans="1:15" x14ac:dyDescent="0.3">
      <c r="G10" s="1">
        <v>8</v>
      </c>
      <c r="H10" s="1">
        <v>92</v>
      </c>
      <c r="I10" s="1">
        <v>9.75</v>
      </c>
      <c r="J10" s="1">
        <v>109.7</v>
      </c>
      <c r="K10" s="1">
        <f t="shared" si="0"/>
        <v>8.8878760255241565E-2</v>
      </c>
      <c r="L10" s="1">
        <f t="shared" si="1"/>
        <v>778688</v>
      </c>
      <c r="M10">
        <f t="shared" si="2"/>
        <v>0.41411984363291471</v>
      </c>
      <c r="N10" s="1">
        <f t="shared" si="3"/>
        <v>414.11984363291469</v>
      </c>
    </row>
    <row r="11" spans="1:15" x14ac:dyDescent="0.3">
      <c r="G11" s="1">
        <v>9</v>
      </c>
      <c r="H11" s="1">
        <v>95</v>
      </c>
      <c r="I11" s="1">
        <v>10</v>
      </c>
      <c r="J11" s="1">
        <v>105.8</v>
      </c>
      <c r="K11" s="1">
        <f t="shared" si="0"/>
        <v>9.4517958412098299E-2</v>
      </c>
      <c r="L11" s="1">
        <f t="shared" si="1"/>
        <v>857375</v>
      </c>
      <c r="M11">
        <f t="shared" si="2"/>
        <v>0.41072929288137955</v>
      </c>
      <c r="N11" s="1">
        <f t="shared" si="3"/>
        <v>410.72929288137954</v>
      </c>
    </row>
    <row r="12" spans="1:15" x14ac:dyDescent="0.3">
      <c r="G12" s="1">
        <v>10</v>
      </c>
      <c r="H12" s="1">
        <v>97</v>
      </c>
      <c r="I12" s="1">
        <v>10.25</v>
      </c>
      <c r="J12" s="1">
        <v>103.1</v>
      </c>
      <c r="K12" s="1">
        <f t="shared" si="0"/>
        <v>9.9418040737148411E-2</v>
      </c>
      <c r="L12" s="1">
        <f t="shared" si="1"/>
        <v>912673</v>
      </c>
      <c r="M12">
        <f t="shared" si="2"/>
        <v>0.40662860877533369</v>
      </c>
      <c r="N12" s="1">
        <f t="shared" si="3"/>
        <v>406.6286087753337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BD72-7230-4264-A945-9682E2B6145F}">
  <dimension ref="A1:O13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79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78</v>
      </c>
      <c r="B2" s="6">
        <v>3.8167</v>
      </c>
      <c r="C2" s="6">
        <v>24.943300000000001</v>
      </c>
      <c r="D2" s="6">
        <v>62</v>
      </c>
      <c r="E2" s="7">
        <v>7.2924399999999994E-8</v>
      </c>
      <c r="F2" s="6">
        <v>3.0980000000000001E-2</v>
      </c>
      <c r="G2" s="8" t="s">
        <v>9</v>
      </c>
      <c r="H2" s="8">
        <v>62</v>
      </c>
      <c r="I2" s="8">
        <v>5.37</v>
      </c>
      <c r="J2" s="8">
        <v>276.2</v>
      </c>
      <c r="K2" s="6">
        <f>I2:I9/J2:J9</f>
        <v>1.944243301955105E-2</v>
      </c>
      <c r="L2" s="6">
        <f>H2:H9^3</f>
        <v>238328</v>
      </c>
      <c r="M2" s="9">
        <f>(3*0.0000000729244*(J2:J9^2)*(H2:H9^2))/(2*24.9433)</f>
        <v>1.2859999182295112</v>
      </c>
      <c r="N2" s="6">
        <f>M2:M9*1000</f>
        <v>1285.9999182295112</v>
      </c>
      <c r="O2">
        <f>AVERAGE(N3:N12)</f>
        <v>497.87576759008908</v>
      </c>
    </row>
    <row r="3" spans="1:15" x14ac:dyDescent="0.3">
      <c r="G3" s="1">
        <v>1</v>
      </c>
      <c r="H3" s="1">
        <v>66</v>
      </c>
      <c r="I3" s="1">
        <v>8.6300000000000008</v>
      </c>
      <c r="J3" s="1">
        <v>161.5</v>
      </c>
      <c r="K3" s="1">
        <f t="shared" ref="K3:K12" si="0">I3:I10/J3:J10</f>
        <v>5.3436532507739942E-2</v>
      </c>
      <c r="L3" s="1">
        <f t="shared" ref="L3:L12" si="1">H3:H10^3</f>
        <v>287496</v>
      </c>
      <c r="M3">
        <f t="shared" ref="M3:M12" si="2">(3*0.0000000729244*(J3:J10^2)*(H3:H10^2))/(2*24.9433)</f>
        <v>0.49824521655252507</v>
      </c>
      <c r="N3" s="1">
        <f t="shared" ref="N3:N12" si="3">M3:M10*1000</f>
        <v>498.24521655252505</v>
      </c>
    </row>
    <row r="4" spans="1:15" x14ac:dyDescent="0.3">
      <c r="G4" s="1">
        <v>2</v>
      </c>
      <c r="H4" s="1">
        <v>70</v>
      </c>
      <c r="I4" s="1">
        <v>8.86</v>
      </c>
      <c r="J4" s="1">
        <v>152.4</v>
      </c>
      <c r="K4" s="1">
        <f t="shared" si="0"/>
        <v>5.8136482939632542E-2</v>
      </c>
      <c r="L4" s="1">
        <f t="shared" si="1"/>
        <v>343000</v>
      </c>
      <c r="M4">
        <f t="shared" si="2"/>
        <v>0.49908696532529373</v>
      </c>
      <c r="N4" s="1">
        <f t="shared" si="3"/>
        <v>499.0869653252937</v>
      </c>
    </row>
    <row r="5" spans="1:15" x14ac:dyDescent="0.3">
      <c r="G5" s="1">
        <v>3</v>
      </c>
      <c r="H5" s="1">
        <v>75</v>
      </c>
      <c r="I5" s="1">
        <v>8.91</v>
      </c>
      <c r="J5" s="1">
        <v>150.1</v>
      </c>
      <c r="K5" s="1">
        <f t="shared" si="0"/>
        <v>5.9360426382411728E-2</v>
      </c>
      <c r="L5" s="1">
        <f t="shared" si="1"/>
        <v>421875</v>
      </c>
      <c r="M5">
        <f t="shared" si="2"/>
        <v>0.55576875169870255</v>
      </c>
      <c r="N5" s="1">
        <f t="shared" si="3"/>
        <v>555.76875169870254</v>
      </c>
    </row>
    <row r="6" spans="1:15" x14ac:dyDescent="0.3">
      <c r="G6" s="1">
        <v>4</v>
      </c>
      <c r="H6" s="1">
        <v>78</v>
      </c>
      <c r="I6" s="1">
        <v>9.17</v>
      </c>
      <c r="J6" s="1">
        <v>136.69999999999999</v>
      </c>
      <c r="K6" s="1">
        <f t="shared" si="0"/>
        <v>6.7081199707388448E-2</v>
      </c>
      <c r="L6" s="1">
        <f t="shared" si="1"/>
        <v>474552</v>
      </c>
      <c r="M6">
        <f t="shared" si="2"/>
        <v>0.49858183080925994</v>
      </c>
      <c r="N6" s="1">
        <f t="shared" si="3"/>
        <v>498.58183080925994</v>
      </c>
    </row>
    <row r="7" spans="1:15" x14ac:dyDescent="0.3">
      <c r="G7" s="1">
        <v>5</v>
      </c>
      <c r="H7" s="1">
        <v>83</v>
      </c>
      <c r="I7" s="1">
        <v>9.2799999999999994</v>
      </c>
      <c r="J7" s="1">
        <v>133.5</v>
      </c>
      <c r="K7" s="1">
        <f t="shared" si="0"/>
        <v>6.9513108614232211E-2</v>
      </c>
      <c r="L7" s="1">
        <f t="shared" si="1"/>
        <v>571787</v>
      </c>
      <c r="M7">
        <f t="shared" si="2"/>
        <v>0.53842960318460864</v>
      </c>
      <c r="N7" s="1">
        <f t="shared" si="3"/>
        <v>538.4296031846086</v>
      </c>
    </row>
    <row r="8" spans="1:15" x14ac:dyDescent="0.3">
      <c r="G8" s="1">
        <v>6</v>
      </c>
      <c r="H8" s="1">
        <v>87</v>
      </c>
      <c r="I8" s="1">
        <v>9.5500000000000007</v>
      </c>
      <c r="J8" s="1">
        <v>120.7</v>
      </c>
      <c r="K8" s="1">
        <f t="shared" si="0"/>
        <v>7.9121789560894787E-2</v>
      </c>
      <c r="L8" s="1">
        <f t="shared" si="1"/>
        <v>658503</v>
      </c>
      <c r="M8">
        <f t="shared" si="2"/>
        <v>0.48357435244507124</v>
      </c>
      <c r="N8" s="1">
        <f t="shared" si="3"/>
        <v>483.57435244507127</v>
      </c>
    </row>
    <row r="9" spans="1:15" x14ac:dyDescent="0.3">
      <c r="G9" s="1">
        <v>7</v>
      </c>
      <c r="H9" s="1">
        <v>89</v>
      </c>
      <c r="I9" s="1">
        <v>9.6199999999999992</v>
      </c>
      <c r="J9" s="1">
        <v>118.4</v>
      </c>
      <c r="K9" s="1">
        <f t="shared" si="0"/>
        <v>8.1249999999999989E-2</v>
      </c>
      <c r="L9" s="1">
        <f t="shared" si="1"/>
        <v>704969</v>
      </c>
      <c r="M9">
        <f t="shared" si="2"/>
        <v>0.48696038438216338</v>
      </c>
      <c r="N9" s="1">
        <f t="shared" si="3"/>
        <v>486.9603843821634</v>
      </c>
    </row>
    <row r="10" spans="1:15" x14ac:dyDescent="0.3">
      <c r="G10" s="1">
        <v>8</v>
      </c>
      <c r="H10" s="1">
        <v>92</v>
      </c>
      <c r="I10" s="1">
        <v>9.86</v>
      </c>
      <c r="J10" s="1">
        <v>115.1</v>
      </c>
      <c r="K10" s="1">
        <f t="shared" si="0"/>
        <v>8.5664639443961771E-2</v>
      </c>
      <c r="L10" s="1">
        <f t="shared" si="1"/>
        <v>778688</v>
      </c>
      <c r="M10">
        <f t="shared" si="2"/>
        <v>0.49174110798960124</v>
      </c>
      <c r="N10" s="1">
        <f t="shared" si="3"/>
        <v>491.74110798960123</v>
      </c>
    </row>
    <row r="11" spans="1:15" x14ac:dyDescent="0.3">
      <c r="G11" s="1">
        <v>9</v>
      </c>
      <c r="H11" s="1">
        <v>93</v>
      </c>
      <c r="I11" s="1">
        <v>9.9600000000000009</v>
      </c>
      <c r="J11" s="1">
        <v>112.1</v>
      </c>
      <c r="K11" s="1">
        <f t="shared" si="0"/>
        <v>8.8849241748438904E-2</v>
      </c>
      <c r="L11" s="1">
        <f t="shared" si="1"/>
        <v>804357</v>
      </c>
      <c r="M11">
        <f t="shared" si="2"/>
        <v>0.47663654278514833</v>
      </c>
      <c r="N11" s="1">
        <f t="shared" si="3"/>
        <v>476.63654278514832</v>
      </c>
    </row>
    <row r="12" spans="1:15" x14ac:dyDescent="0.3">
      <c r="G12" s="1">
        <v>10</v>
      </c>
      <c r="H12" s="1">
        <v>97</v>
      </c>
      <c r="I12" s="1">
        <v>10.63</v>
      </c>
      <c r="J12" s="1">
        <v>104.4</v>
      </c>
      <c r="K12" s="1">
        <f t="shared" si="0"/>
        <v>0.10181992337164751</v>
      </c>
      <c r="L12" s="1">
        <f t="shared" si="1"/>
        <v>912673</v>
      </c>
      <c r="M12">
        <f t="shared" si="2"/>
        <v>0.44973292072851562</v>
      </c>
      <c r="N12" s="1">
        <f t="shared" si="3"/>
        <v>449.73292072851564</v>
      </c>
    </row>
    <row r="13" spans="1:15" x14ac:dyDescent="0.3">
      <c r="N13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C966-8775-4353-9AB5-48A954B05127}">
  <dimension ref="A1:O10"/>
  <sheetViews>
    <sheetView tabSelected="1" topLeftCell="C1"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81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80</v>
      </c>
      <c r="B2" s="6">
        <v>3.8366699999999998</v>
      </c>
      <c r="C2" s="6">
        <v>24.956669999999999</v>
      </c>
      <c r="D2" s="6">
        <v>68</v>
      </c>
      <c r="E2" s="7">
        <v>7.0851700000000002E-8</v>
      </c>
      <c r="F2" s="6">
        <v>3.0620000000000001E-2</v>
      </c>
      <c r="G2" s="8" t="s">
        <v>9</v>
      </c>
      <c r="H2" s="8">
        <v>68</v>
      </c>
      <c r="I2" s="8">
        <v>5.91</v>
      </c>
      <c r="J2" s="8">
        <v>301.60000000000002</v>
      </c>
      <c r="K2" s="6">
        <f>I2:I9/J2:J9</f>
        <v>1.9595490716180372E-2</v>
      </c>
      <c r="L2" s="6">
        <f>H2:H9^3</f>
        <v>314432</v>
      </c>
      <c r="M2" s="9">
        <f>(3*0.0000000708517*(J2:J9^2)*(H2:H9^2))/(2*24.95667)</f>
        <v>1.7911641880777156</v>
      </c>
      <c r="N2" s="6">
        <f>M2:M9*1000</f>
        <v>1791.1641880777156</v>
      </c>
      <c r="O2">
        <f>AVERAGE(N3:N10)</f>
        <v>448.5105425903713</v>
      </c>
    </row>
    <row r="3" spans="1:15" x14ac:dyDescent="0.3">
      <c r="G3" s="1">
        <v>1</v>
      </c>
      <c r="H3" s="1">
        <v>71</v>
      </c>
      <c r="I3" s="1">
        <v>8.43</v>
      </c>
      <c r="J3" s="1">
        <v>141.6</v>
      </c>
      <c r="K3" s="1">
        <f t="shared" ref="K3:K10" si="0">I3:I10/J3:J10</f>
        <v>5.9533898305084744E-2</v>
      </c>
      <c r="L3" s="1">
        <f t="shared" ref="L3:L10" si="1">H3:H10^3</f>
        <v>357911</v>
      </c>
      <c r="M3">
        <f t="shared" ref="M3:M10" si="2">(3*0.0000000708517*(J3:J10^2)*(H3:H10^2))/(2*24.95667)</f>
        <v>0.43042560825422815</v>
      </c>
      <c r="N3" s="1">
        <f t="shared" ref="N3:N10" si="3">M3:M10*1000</f>
        <v>430.42560825422817</v>
      </c>
    </row>
    <row r="4" spans="1:15" x14ac:dyDescent="0.3">
      <c r="G4" s="1">
        <v>2</v>
      </c>
      <c r="H4" s="1">
        <v>80</v>
      </c>
      <c r="I4" s="1">
        <v>8.68</v>
      </c>
      <c r="J4" s="1">
        <v>137.1</v>
      </c>
      <c r="K4" s="1">
        <f t="shared" si="0"/>
        <v>6.3311451495258936E-2</v>
      </c>
      <c r="L4" s="1">
        <f t="shared" si="1"/>
        <v>512000</v>
      </c>
      <c r="M4">
        <f t="shared" si="2"/>
        <v>0.5122828078830709</v>
      </c>
      <c r="N4" s="1">
        <f t="shared" si="3"/>
        <v>512.28280788307086</v>
      </c>
    </row>
    <row r="5" spans="1:15" x14ac:dyDescent="0.3">
      <c r="G5" s="1">
        <v>3</v>
      </c>
      <c r="H5" s="1">
        <v>85</v>
      </c>
      <c r="I5" s="1">
        <v>8.91</v>
      </c>
      <c r="J5" s="1">
        <v>122.9</v>
      </c>
      <c r="K5" s="1">
        <f t="shared" si="0"/>
        <v>7.24979658258747E-2</v>
      </c>
      <c r="L5" s="1">
        <f t="shared" si="1"/>
        <v>614125</v>
      </c>
      <c r="M5">
        <f t="shared" si="2"/>
        <v>0.46472551237775273</v>
      </c>
      <c r="N5" s="1">
        <f t="shared" si="3"/>
        <v>464.72551237775275</v>
      </c>
    </row>
    <row r="6" spans="1:15" x14ac:dyDescent="0.3">
      <c r="G6" s="1">
        <v>4</v>
      </c>
      <c r="H6" s="1">
        <v>88</v>
      </c>
      <c r="I6" s="1">
        <v>9.15</v>
      </c>
      <c r="J6" s="1">
        <v>116.8</v>
      </c>
      <c r="K6" s="1">
        <f t="shared" si="0"/>
        <v>7.8339041095890419E-2</v>
      </c>
      <c r="L6" s="1">
        <f t="shared" si="1"/>
        <v>681472</v>
      </c>
      <c r="M6">
        <f t="shared" si="2"/>
        <v>0.44988957283586828</v>
      </c>
      <c r="N6" s="1">
        <f t="shared" si="3"/>
        <v>449.88957283586831</v>
      </c>
    </row>
    <row r="7" spans="1:15" x14ac:dyDescent="0.3">
      <c r="G7" s="1">
        <v>5</v>
      </c>
      <c r="H7" s="1">
        <v>90</v>
      </c>
      <c r="I7" s="1">
        <v>9.25</v>
      </c>
      <c r="J7" s="1">
        <v>112.5</v>
      </c>
      <c r="K7" s="1">
        <f t="shared" si="0"/>
        <v>8.2222222222222224E-2</v>
      </c>
      <c r="L7" s="1">
        <f t="shared" si="1"/>
        <v>729000</v>
      </c>
      <c r="M7">
        <f t="shared" si="2"/>
        <v>0.43656102603908103</v>
      </c>
      <c r="N7" s="1">
        <f t="shared" si="3"/>
        <v>436.56102603908101</v>
      </c>
    </row>
    <row r="8" spans="1:15" x14ac:dyDescent="0.3">
      <c r="G8" s="1">
        <v>6</v>
      </c>
      <c r="H8" s="1">
        <v>92</v>
      </c>
      <c r="I8" s="1">
        <v>9.4600000000000009</v>
      </c>
      <c r="J8" s="1">
        <v>109</v>
      </c>
      <c r="K8" s="1">
        <f t="shared" si="0"/>
        <v>8.6788990825688084E-2</v>
      </c>
      <c r="L8" s="1">
        <f t="shared" si="1"/>
        <v>778688</v>
      </c>
      <c r="M8">
        <f t="shared" si="2"/>
        <v>0.42823636925916803</v>
      </c>
      <c r="N8" s="1">
        <f t="shared" si="3"/>
        <v>428.23636925916804</v>
      </c>
    </row>
    <row r="9" spans="1:15" x14ac:dyDescent="0.3">
      <c r="G9" s="1">
        <v>7</v>
      </c>
      <c r="H9" s="1">
        <v>95</v>
      </c>
      <c r="I9" s="1">
        <v>9.64</v>
      </c>
      <c r="J9" s="1">
        <v>106.5</v>
      </c>
      <c r="K9" s="1">
        <f t="shared" si="0"/>
        <v>9.0516431924882637E-2</v>
      </c>
      <c r="L9" s="1">
        <f t="shared" si="1"/>
        <v>857375</v>
      </c>
      <c r="M9">
        <f t="shared" si="2"/>
        <v>0.43591450850312519</v>
      </c>
      <c r="N9" s="1">
        <f t="shared" si="3"/>
        <v>435.91450850312521</v>
      </c>
    </row>
    <row r="10" spans="1:15" x14ac:dyDescent="0.3">
      <c r="G10" s="1">
        <v>8</v>
      </c>
      <c r="H10" s="1">
        <v>97</v>
      </c>
      <c r="I10" s="1">
        <v>10.09</v>
      </c>
      <c r="J10" s="1">
        <v>103.6</v>
      </c>
      <c r="K10" s="1">
        <f t="shared" si="0"/>
        <v>9.7393822393822396E-2</v>
      </c>
      <c r="L10" s="1">
        <f t="shared" si="1"/>
        <v>912673</v>
      </c>
      <c r="M10">
        <f t="shared" si="2"/>
        <v>0.43004893557067642</v>
      </c>
      <c r="N10" s="1">
        <f t="shared" si="3"/>
        <v>430.04893557067641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325D-6498-4D94-A5B1-6E96D16600BA}">
  <dimension ref="A1:O12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83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82</v>
      </c>
      <c r="B2" s="6">
        <v>3.85</v>
      </c>
      <c r="C2" s="6">
        <v>24.9</v>
      </c>
      <c r="D2" s="6">
        <v>63</v>
      </c>
      <c r="E2" s="7">
        <v>7.6249999999999998E-8</v>
      </c>
      <c r="F2" s="6">
        <v>3.1570000000000001E-2</v>
      </c>
      <c r="G2" s="8" t="s">
        <v>9</v>
      </c>
      <c r="H2" s="8">
        <v>63</v>
      </c>
      <c r="I2" s="8">
        <v>5.4</v>
      </c>
      <c r="J2" s="8">
        <v>266.8</v>
      </c>
      <c r="K2" s="6">
        <f>I2:I9/J2:J9</f>
        <v>2.0239880059970017E-2</v>
      </c>
      <c r="L2" s="6">
        <f>H2:H9^3</f>
        <v>250047</v>
      </c>
      <c r="M2" s="9">
        <f>(3*0.00000007625*(J2:J9^2)*(H2:H9^2))/(2*24.9)</f>
        <v>1.2977304927831323</v>
      </c>
      <c r="N2" s="6">
        <f>M2:M9*1000</f>
        <v>1297.7304927831324</v>
      </c>
      <c r="O2">
        <f>AVERAGE(N3:N12)</f>
        <v>500.69411047863332</v>
      </c>
    </row>
    <row r="3" spans="1:15" x14ac:dyDescent="0.3">
      <c r="G3" s="1">
        <v>1</v>
      </c>
      <c r="H3" s="1">
        <v>66</v>
      </c>
      <c r="I3" s="1">
        <v>8.76</v>
      </c>
      <c r="J3" s="1">
        <v>160.80000000000001</v>
      </c>
      <c r="K3" s="1">
        <f t="shared" ref="K3:K12" si="0">I3:I10/J3:J10</f>
        <v>5.4477611940298501E-2</v>
      </c>
      <c r="L3" s="1">
        <f t="shared" ref="L3:L12" si="1">H3:H10^3</f>
        <v>287496</v>
      </c>
      <c r="M3">
        <f t="shared" ref="M3:M12" si="2">(3*0.00000007625*(J3:J10^2)*(H3:H10^2))/(2*24.9)</f>
        <v>0.51735865619277122</v>
      </c>
      <c r="N3" s="1">
        <f t="shared" ref="N3:N12" si="3">M3:M10*1000</f>
        <v>517.35865619277126</v>
      </c>
    </row>
    <row r="4" spans="1:15" x14ac:dyDescent="0.3">
      <c r="G4" s="1">
        <v>2</v>
      </c>
      <c r="H4" s="1">
        <v>74</v>
      </c>
      <c r="I4" s="1">
        <v>8.93</v>
      </c>
      <c r="J4" s="1">
        <v>155.30000000000001</v>
      </c>
      <c r="K4" s="1">
        <f t="shared" si="0"/>
        <v>5.750160978750804E-2</v>
      </c>
      <c r="L4" s="1">
        <f t="shared" si="1"/>
        <v>405224</v>
      </c>
      <c r="M4">
        <f t="shared" si="2"/>
        <v>0.60664987283433747</v>
      </c>
      <c r="N4" s="1">
        <f t="shared" si="3"/>
        <v>606.64987283433743</v>
      </c>
    </row>
    <row r="5" spans="1:15" x14ac:dyDescent="0.3">
      <c r="G5" s="1">
        <v>3</v>
      </c>
      <c r="H5" s="1">
        <v>76</v>
      </c>
      <c r="I5" s="1">
        <v>9.01</v>
      </c>
      <c r="J5" s="1">
        <v>141.80000000000001</v>
      </c>
      <c r="K5" s="1">
        <f t="shared" si="0"/>
        <v>6.3540197461212963E-2</v>
      </c>
      <c r="L5" s="1">
        <f t="shared" si="1"/>
        <v>438976</v>
      </c>
      <c r="M5">
        <f t="shared" si="2"/>
        <v>0.53347172534939757</v>
      </c>
      <c r="N5" s="1">
        <f t="shared" si="3"/>
        <v>533.47172534939762</v>
      </c>
    </row>
    <row r="6" spans="1:15" x14ac:dyDescent="0.3">
      <c r="G6" s="1">
        <v>4</v>
      </c>
      <c r="H6" s="1">
        <v>77</v>
      </c>
      <c r="I6" s="1">
        <v>9.2100000000000009</v>
      </c>
      <c r="J6" s="1">
        <v>133.5</v>
      </c>
      <c r="K6" s="1">
        <f t="shared" si="0"/>
        <v>6.8988764044943821E-2</v>
      </c>
      <c r="L6" s="1">
        <f t="shared" si="1"/>
        <v>456533</v>
      </c>
      <c r="M6">
        <f t="shared" si="2"/>
        <v>0.48537314271460835</v>
      </c>
      <c r="N6" s="1">
        <f t="shared" si="3"/>
        <v>485.37314271460838</v>
      </c>
    </row>
    <row r="7" spans="1:15" x14ac:dyDescent="0.3">
      <c r="G7" s="1">
        <v>5</v>
      </c>
      <c r="H7" s="1">
        <v>78</v>
      </c>
      <c r="I7" s="1">
        <v>9.33</v>
      </c>
      <c r="J7" s="1">
        <v>130.30000000000001</v>
      </c>
      <c r="K7" s="1">
        <f t="shared" si="0"/>
        <v>7.160399079048349E-2</v>
      </c>
      <c r="L7" s="1">
        <f t="shared" si="1"/>
        <v>474552</v>
      </c>
      <c r="M7">
        <f t="shared" si="2"/>
        <v>0.47447113502710853</v>
      </c>
      <c r="N7" s="1">
        <f t="shared" si="3"/>
        <v>474.47113502710852</v>
      </c>
    </row>
    <row r="8" spans="1:15" x14ac:dyDescent="0.3">
      <c r="G8" s="1">
        <v>6</v>
      </c>
      <c r="H8" s="1">
        <v>83</v>
      </c>
      <c r="I8" s="1">
        <v>9.4</v>
      </c>
      <c r="J8" s="1">
        <v>127.4</v>
      </c>
      <c r="K8" s="1">
        <f t="shared" si="0"/>
        <v>7.378335949764521E-2</v>
      </c>
      <c r="L8" s="1">
        <f t="shared" si="1"/>
        <v>571787</v>
      </c>
      <c r="M8">
        <f t="shared" si="2"/>
        <v>0.51360211175000003</v>
      </c>
      <c r="N8" s="1">
        <f t="shared" si="3"/>
        <v>513.60211175000006</v>
      </c>
    </row>
    <row r="9" spans="1:15" x14ac:dyDescent="0.3">
      <c r="G9" s="1">
        <v>7</v>
      </c>
      <c r="H9" s="1">
        <v>85</v>
      </c>
      <c r="I9" s="1">
        <v>9.48</v>
      </c>
      <c r="J9" s="1">
        <v>121.11</v>
      </c>
      <c r="K9" s="1">
        <f t="shared" si="0"/>
        <v>7.8275947485756753E-2</v>
      </c>
      <c r="L9" s="1">
        <f t="shared" si="1"/>
        <v>614125</v>
      </c>
      <c r="M9">
        <f t="shared" si="2"/>
        <v>0.48677651786690507</v>
      </c>
      <c r="N9" s="1">
        <f t="shared" si="3"/>
        <v>486.77651786690507</v>
      </c>
    </row>
    <row r="10" spans="1:15" x14ac:dyDescent="0.3">
      <c r="G10" s="1">
        <v>8</v>
      </c>
      <c r="H10" s="1">
        <v>88</v>
      </c>
      <c r="I10" s="1">
        <v>9.68</v>
      </c>
      <c r="J10" s="1">
        <v>113.9</v>
      </c>
      <c r="K10" s="1">
        <f t="shared" si="0"/>
        <v>8.498683055311676E-2</v>
      </c>
      <c r="L10" s="1">
        <f t="shared" si="1"/>
        <v>681472</v>
      </c>
      <c r="M10">
        <f t="shared" si="2"/>
        <v>0.46147114703614456</v>
      </c>
      <c r="N10" s="1">
        <f t="shared" si="3"/>
        <v>461.47114703614454</v>
      </c>
    </row>
    <row r="11" spans="1:15" x14ac:dyDescent="0.3">
      <c r="G11" s="1">
        <v>9</v>
      </c>
      <c r="H11" s="1">
        <v>94</v>
      </c>
      <c r="I11" s="1">
        <v>10.119999999999999</v>
      </c>
      <c r="J11" s="1">
        <v>108.3</v>
      </c>
      <c r="K11" s="1">
        <f t="shared" si="0"/>
        <v>9.344413665743305E-2</v>
      </c>
      <c r="L11" s="1">
        <f t="shared" si="1"/>
        <v>830584</v>
      </c>
      <c r="M11">
        <f t="shared" si="2"/>
        <v>0.47604102367771078</v>
      </c>
      <c r="N11" s="1">
        <f t="shared" si="3"/>
        <v>476.04102367771077</v>
      </c>
    </row>
    <row r="12" spans="1:15" x14ac:dyDescent="0.3">
      <c r="G12" s="1">
        <v>10</v>
      </c>
      <c r="H12" s="1">
        <v>96</v>
      </c>
      <c r="I12" s="1">
        <v>10.28</v>
      </c>
      <c r="J12" s="1">
        <v>103.3</v>
      </c>
      <c r="K12" s="1">
        <f t="shared" si="0"/>
        <v>9.9515972894482094E-2</v>
      </c>
      <c r="L12" s="1">
        <f t="shared" si="1"/>
        <v>884736</v>
      </c>
      <c r="M12">
        <f t="shared" si="2"/>
        <v>0.45172577233734934</v>
      </c>
      <c r="N12" s="1">
        <f t="shared" si="3"/>
        <v>451.72577233734933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C62D-14A2-4597-A636-666B514928D6}">
  <dimension ref="A1:O11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85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84</v>
      </c>
      <c r="B2" s="6">
        <v>3.85</v>
      </c>
      <c r="C2" s="6">
        <v>24.9</v>
      </c>
      <c r="D2" s="6">
        <v>61</v>
      </c>
      <c r="E2" s="7">
        <v>6.6837200000000002E-8</v>
      </c>
      <c r="F2" s="6">
        <v>3.1E-2</v>
      </c>
      <c r="G2" s="8" t="s">
        <v>9</v>
      </c>
      <c r="H2" s="8">
        <v>61</v>
      </c>
      <c r="I2" s="8">
        <v>5.15</v>
      </c>
      <c r="J2" s="8">
        <v>267.89999999999998</v>
      </c>
      <c r="K2" s="6">
        <f>I2:I9/J2:J9</f>
        <v>1.9223590892123929E-2</v>
      </c>
      <c r="L2" s="6">
        <f>H2:H9^3</f>
        <v>226981</v>
      </c>
      <c r="M2" s="9">
        <f>(3*0.0000000668372*(J2:J9^2)*(H2:H9^2))/(2*24.9)</f>
        <v>1.0752643742785959</v>
      </c>
      <c r="N2" s="6">
        <f>M2:M9*1000</f>
        <v>1075.2643742785958</v>
      </c>
      <c r="O2">
        <f>AVERAGE(N3:N11)</f>
        <v>466.32429568195431</v>
      </c>
    </row>
    <row r="3" spans="1:15" x14ac:dyDescent="0.3">
      <c r="G3" s="1">
        <v>1</v>
      </c>
      <c r="H3" s="1">
        <v>71</v>
      </c>
      <c r="I3" s="1">
        <v>8.68</v>
      </c>
      <c r="J3" s="1">
        <v>156.4</v>
      </c>
      <c r="K3" s="1">
        <f t="shared" ref="K3:K11" si="0">I3:I10/J3:J10</f>
        <v>5.5498721227621478E-2</v>
      </c>
      <c r="L3" s="1">
        <f t="shared" ref="L3:L11" si="1">H3:H10^3</f>
        <v>357911</v>
      </c>
      <c r="M3">
        <f t="shared" ref="M3:M11" si="2">(3*0.0000000668372*(J3:J10^2)*(H3:H10^2))/(2*24.9)</f>
        <v>0.4964783954014575</v>
      </c>
      <c r="N3" s="1">
        <f t="shared" ref="N3:N11" si="3">M3:M10*1000</f>
        <v>496.47839540145748</v>
      </c>
    </row>
    <row r="4" spans="1:15" x14ac:dyDescent="0.3">
      <c r="G4" s="1">
        <v>2</v>
      </c>
      <c r="H4" s="1">
        <v>76</v>
      </c>
      <c r="I4" s="1">
        <v>8.76</v>
      </c>
      <c r="J4" s="1">
        <v>151.4</v>
      </c>
      <c r="K4" s="1">
        <f t="shared" si="0"/>
        <v>5.7859973579920738E-2</v>
      </c>
      <c r="L4" s="1">
        <f t="shared" si="1"/>
        <v>438976</v>
      </c>
      <c r="M4">
        <f t="shared" si="2"/>
        <v>0.53307595623444071</v>
      </c>
      <c r="N4" s="1">
        <f t="shared" si="3"/>
        <v>533.0759562344407</v>
      </c>
    </row>
    <row r="5" spans="1:15" x14ac:dyDescent="0.3">
      <c r="G5" s="1">
        <v>3</v>
      </c>
      <c r="H5" s="1">
        <v>80</v>
      </c>
      <c r="I5" s="1">
        <v>8.98</v>
      </c>
      <c r="J5" s="1">
        <v>133.19999999999999</v>
      </c>
      <c r="K5" s="1">
        <f t="shared" si="0"/>
        <v>6.7417417417417427E-2</v>
      </c>
      <c r="L5" s="1">
        <f t="shared" si="1"/>
        <v>512000</v>
      </c>
      <c r="M5">
        <f t="shared" si="2"/>
        <v>0.45719195887344583</v>
      </c>
      <c r="N5" s="1">
        <f t="shared" si="3"/>
        <v>457.1919588734458</v>
      </c>
    </row>
    <row r="6" spans="1:15" x14ac:dyDescent="0.3">
      <c r="G6" s="1">
        <v>4</v>
      </c>
      <c r="H6" s="1">
        <v>84</v>
      </c>
      <c r="I6" s="1">
        <v>9.07</v>
      </c>
      <c r="J6" s="1">
        <v>128.4</v>
      </c>
      <c r="K6" s="1">
        <f t="shared" si="0"/>
        <v>7.0638629283489102E-2</v>
      </c>
      <c r="L6" s="1">
        <f t="shared" si="1"/>
        <v>592704</v>
      </c>
      <c r="M6">
        <f t="shared" si="2"/>
        <v>0.46838047136589123</v>
      </c>
      <c r="N6" s="1">
        <f t="shared" si="3"/>
        <v>468.38047136589125</v>
      </c>
    </row>
    <row r="7" spans="1:15" x14ac:dyDescent="0.3">
      <c r="G7" s="1">
        <v>5</v>
      </c>
      <c r="H7" s="1">
        <v>87</v>
      </c>
      <c r="I7" s="1">
        <v>9.16</v>
      </c>
      <c r="J7" s="1">
        <v>124.6</v>
      </c>
      <c r="K7" s="1">
        <f t="shared" si="0"/>
        <v>7.3515248796147681E-2</v>
      </c>
      <c r="L7" s="1">
        <f t="shared" si="1"/>
        <v>658503</v>
      </c>
      <c r="M7">
        <f t="shared" si="2"/>
        <v>0.47313464440317399</v>
      </c>
      <c r="N7" s="1">
        <f t="shared" si="3"/>
        <v>473.13464440317398</v>
      </c>
    </row>
    <row r="8" spans="1:15" x14ac:dyDescent="0.3">
      <c r="G8" s="1">
        <v>6</v>
      </c>
      <c r="H8" s="1">
        <v>89</v>
      </c>
      <c r="I8" s="1">
        <v>9.3699999999999992</v>
      </c>
      <c r="J8" s="1">
        <v>118.2</v>
      </c>
      <c r="K8" s="1">
        <f t="shared" si="0"/>
        <v>7.9272419627749571E-2</v>
      </c>
      <c r="L8" s="1">
        <f t="shared" si="1"/>
        <v>704969</v>
      </c>
      <c r="M8">
        <f t="shared" si="2"/>
        <v>0.44557942232625836</v>
      </c>
      <c r="N8" s="1">
        <f t="shared" si="3"/>
        <v>445.57942232625834</v>
      </c>
    </row>
    <row r="9" spans="1:15" x14ac:dyDescent="0.3">
      <c r="G9" s="1">
        <v>7</v>
      </c>
      <c r="H9" s="1">
        <v>92</v>
      </c>
      <c r="I9" s="1">
        <v>9.52</v>
      </c>
      <c r="J9" s="1">
        <v>114.2</v>
      </c>
      <c r="K9" s="1">
        <f t="shared" si="0"/>
        <v>8.3362521891418559E-2</v>
      </c>
      <c r="L9" s="1">
        <f t="shared" si="1"/>
        <v>778688</v>
      </c>
      <c r="M9">
        <f t="shared" si="2"/>
        <v>0.44444499742962135</v>
      </c>
      <c r="N9" s="1">
        <f t="shared" si="3"/>
        <v>444.44499742962137</v>
      </c>
    </row>
    <row r="10" spans="1:15" x14ac:dyDescent="0.3">
      <c r="G10" s="1">
        <v>8</v>
      </c>
      <c r="H10" s="1">
        <v>93</v>
      </c>
      <c r="I10" s="1">
        <v>9.58</v>
      </c>
      <c r="J10" s="1">
        <v>112.2</v>
      </c>
      <c r="K10" s="1">
        <f t="shared" si="0"/>
        <v>8.5383244206773623E-2</v>
      </c>
      <c r="L10" s="1">
        <f t="shared" si="1"/>
        <v>804357</v>
      </c>
      <c r="M10">
        <f t="shared" si="2"/>
        <v>0.43839114234447907</v>
      </c>
      <c r="N10" s="1">
        <f t="shared" si="3"/>
        <v>438.39114234447908</v>
      </c>
    </row>
    <row r="11" spans="1:15" x14ac:dyDescent="0.3">
      <c r="G11" s="1">
        <v>9</v>
      </c>
      <c r="H11" s="1">
        <v>97</v>
      </c>
      <c r="I11" s="1">
        <v>9.82</v>
      </c>
      <c r="J11" s="1">
        <v>107.8</v>
      </c>
      <c r="K11" s="1">
        <f t="shared" si="0"/>
        <v>9.1094619666048246E-2</v>
      </c>
      <c r="L11" s="1">
        <f t="shared" si="1"/>
        <v>912673</v>
      </c>
      <c r="M11">
        <f t="shared" si="2"/>
        <v>0.44024167275882131</v>
      </c>
      <c r="N11" s="1">
        <f t="shared" si="3"/>
        <v>440.24167275882132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4341-EFC0-48AA-9C13-5465F5381968}">
  <sheetPr>
    <tabColor theme="4" tint="0.59999389629810485"/>
  </sheetPr>
  <dimension ref="A1:O22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7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35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34</v>
      </c>
      <c r="B2" s="6">
        <v>3.92</v>
      </c>
      <c r="C2" s="6">
        <v>25.13</v>
      </c>
      <c r="D2" s="6">
        <v>53</v>
      </c>
      <c r="E2" s="7">
        <v>8.0949700000000004E-8</v>
      </c>
      <c r="F2" s="6">
        <v>1.4500000000000001E-2</v>
      </c>
      <c r="G2" s="8" t="s">
        <v>9</v>
      </c>
      <c r="H2" s="8">
        <v>53</v>
      </c>
      <c r="I2" s="8">
        <v>11.44</v>
      </c>
      <c r="J2" s="8">
        <v>627.1</v>
      </c>
      <c r="K2" s="9">
        <f>I2:I9/J2:J9</f>
        <v>1.8242704512836865E-2</v>
      </c>
      <c r="L2" s="9">
        <f>H2:H9^3</f>
        <v>148877</v>
      </c>
      <c r="M2" s="9">
        <f>(3*0.0000000809497*(J2:J9^2)*(H2:H9^2))/(2*25.13)</f>
        <v>5.3375180267915363</v>
      </c>
      <c r="N2" s="9">
        <f>M2:M9*1000</f>
        <v>5337.5180267915366</v>
      </c>
      <c r="O2">
        <f>AVERAGE(N3:N8)</f>
        <v>5195.5840498312209</v>
      </c>
    </row>
    <row r="3" spans="1:15" x14ac:dyDescent="0.3">
      <c r="G3">
        <v>1</v>
      </c>
      <c r="H3" s="1">
        <v>68</v>
      </c>
      <c r="I3" s="1">
        <v>22.56</v>
      </c>
      <c r="J3" s="1">
        <v>589.20000000000005</v>
      </c>
      <c r="K3">
        <f t="shared" ref="K3:K8" si="0">I3:I10/J3:J10</f>
        <v>3.8289205702647655E-2</v>
      </c>
      <c r="L3">
        <f t="shared" ref="L3:L8" si="1">H3:H10^3</f>
        <v>314432</v>
      </c>
      <c r="M3">
        <f t="shared" ref="M3:M8" si="2">(3*0.0000000809497*(J3:J10^2)*(H3:H10^2))/(2*25.13)</f>
        <v>7.75634853051936</v>
      </c>
      <c r="N3">
        <f t="shared" ref="N3:N8" si="3">M3:M10*1000</f>
        <v>7756.3485305193599</v>
      </c>
    </row>
    <row r="4" spans="1:15" x14ac:dyDescent="0.3">
      <c r="G4">
        <v>2</v>
      </c>
      <c r="H4" s="1">
        <v>80</v>
      </c>
      <c r="I4" s="1">
        <v>23.58</v>
      </c>
      <c r="J4" s="1">
        <v>394.7</v>
      </c>
      <c r="K4">
        <f t="shared" si="0"/>
        <v>5.9741575880415503E-2</v>
      </c>
      <c r="L4">
        <f t="shared" si="1"/>
        <v>512000</v>
      </c>
      <c r="M4">
        <f t="shared" si="2"/>
        <v>4.8175722972980815</v>
      </c>
      <c r="N4">
        <f t="shared" si="3"/>
        <v>4817.5722972980811</v>
      </c>
    </row>
    <row r="5" spans="1:15" x14ac:dyDescent="0.3">
      <c r="G5">
        <v>3</v>
      </c>
      <c r="H5" s="1">
        <v>85</v>
      </c>
      <c r="I5" s="1">
        <v>23.86</v>
      </c>
      <c r="J5" s="1">
        <v>373</v>
      </c>
      <c r="K5">
        <f t="shared" si="0"/>
        <v>6.3967828418230566E-2</v>
      </c>
      <c r="L5">
        <f t="shared" si="1"/>
        <v>614125</v>
      </c>
      <c r="M5">
        <f t="shared" si="2"/>
        <v>4.857015943790838</v>
      </c>
      <c r="N5">
        <f t="shared" si="3"/>
        <v>4857.0159437908378</v>
      </c>
    </row>
    <row r="6" spans="1:15" x14ac:dyDescent="0.3">
      <c r="G6">
        <v>4</v>
      </c>
      <c r="H6" s="1">
        <v>90</v>
      </c>
      <c r="I6" s="1">
        <v>24.82</v>
      </c>
      <c r="J6" s="1">
        <v>347.8</v>
      </c>
      <c r="K6">
        <f t="shared" si="0"/>
        <v>7.1362852213916042E-2</v>
      </c>
      <c r="L6">
        <f t="shared" si="1"/>
        <v>729000</v>
      </c>
      <c r="M6">
        <f t="shared" si="2"/>
        <v>4.7343263123302117</v>
      </c>
      <c r="N6">
        <f t="shared" si="3"/>
        <v>4734.3263123302113</v>
      </c>
    </row>
    <row r="7" spans="1:15" x14ac:dyDescent="0.3">
      <c r="G7">
        <v>5</v>
      </c>
      <c r="H7" s="1">
        <v>92</v>
      </c>
      <c r="I7" s="1">
        <v>25.56</v>
      </c>
      <c r="J7" s="1">
        <v>336.7</v>
      </c>
      <c r="K7">
        <f t="shared" si="0"/>
        <v>7.5913275913275916E-2</v>
      </c>
      <c r="L7">
        <f t="shared" si="1"/>
        <v>778688</v>
      </c>
      <c r="M7">
        <f t="shared" si="2"/>
        <v>4.6363466684065804</v>
      </c>
      <c r="N7">
        <f t="shared" si="3"/>
        <v>4636.3466684065806</v>
      </c>
    </row>
    <row r="8" spans="1:15" x14ac:dyDescent="0.3">
      <c r="G8">
        <v>6</v>
      </c>
      <c r="H8" s="1">
        <v>94</v>
      </c>
      <c r="I8" s="1">
        <v>26.75</v>
      </c>
      <c r="J8" s="1">
        <v>320</v>
      </c>
      <c r="K8">
        <f t="shared" si="0"/>
        <v>8.3593749999999994E-2</v>
      </c>
      <c r="L8">
        <f t="shared" si="1"/>
        <v>830584</v>
      </c>
      <c r="M8">
        <f t="shared" si="2"/>
        <v>4.3718945466422596</v>
      </c>
      <c r="N8">
        <f t="shared" si="3"/>
        <v>4371.8945466422592</v>
      </c>
    </row>
    <row r="9" spans="1:15" x14ac:dyDescent="0.3">
      <c r="H9" s="1"/>
      <c r="I9" s="1"/>
      <c r="J9" s="1"/>
    </row>
    <row r="10" spans="1:15" x14ac:dyDescent="0.3">
      <c r="H10" s="1"/>
      <c r="I10" s="1"/>
      <c r="J10" s="1"/>
    </row>
    <row r="11" spans="1:15" x14ac:dyDescent="0.3">
      <c r="H11" s="1"/>
      <c r="I11" s="1"/>
      <c r="J11" s="1"/>
    </row>
    <row r="12" spans="1:15" x14ac:dyDescent="0.3">
      <c r="H12" s="1"/>
      <c r="I12" s="1"/>
      <c r="J12" s="1"/>
    </row>
    <row r="13" spans="1:15" x14ac:dyDescent="0.3">
      <c r="H13" s="1"/>
      <c r="I13" s="1"/>
      <c r="J13" s="1"/>
    </row>
    <row r="14" spans="1:15" x14ac:dyDescent="0.3">
      <c r="H14" s="1"/>
      <c r="I14" s="1"/>
      <c r="J14" s="1"/>
    </row>
    <row r="15" spans="1:15" x14ac:dyDescent="0.3">
      <c r="H15" s="1"/>
      <c r="I15" s="1"/>
      <c r="J15" s="1"/>
    </row>
    <row r="16" spans="1:15" x14ac:dyDescent="0.3">
      <c r="H16" s="1"/>
      <c r="I16" s="1"/>
      <c r="J16" s="1"/>
    </row>
    <row r="17" spans="8:10" x14ac:dyDescent="0.3">
      <c r="H17" s="1"/>
      <c r="I17" s="1"/>
      <c r="J17" s="1"/>
    </row>
    <row r="18" spans="8:10" x14ac:dyDescent="0.3">
      <c r="H18" s="1"/>
      <c r="I18" s="1"/>
      <c r="J18" s="1"/>
    </row>
    <row r="19" spans="8:10" x14ac:dyDescent="0.3">
      <c r="H19" s="1"/>
      <c r="I19" s="1"/>
      <c r="J19" s="1"/>
    </row>
    <row r="20" spans="8:10" x14ac:dyDescent="0.3">
      <c r="H20" s="1"/>
      <c r="I20" s="1"/>
      <c r="J20" s="1"/>
    </row>
    <row r="21" spans="8:10" x14ac:dyDescent="0.3">
      <c r="H21" s="1"/>
      <c r="I21" s="1"/>
      <c r="J21" s="1"/>
    </row>
    <row r="22" spans="8:10" x14ac:dyDescent="0.3">
      <c r="H22" s="1"/>
      <c r="I22" s="1"/>
      <c r="J22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72FC-6198-46B5-A5CF-2A5B247992CD}">
  <sheetPr>
    <tabColor theme="4" tint="0.59999389629810485"/>
  </sheetPr>
  <dimension ref="A1:O9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08203125" customWidth="1"/>
    <col min="6" max="6" width="10.6640625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37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36</v>
      </c>
      <c r="B2" s="6">
        <v>3.92</v>
      </c>
      <c r="C2" s="6">
        <v>25.05</v>
      </c>
      <c r="D2" s="6">
        <v>50</v>
      </c>
      <c r="E2" s="7">
        <v>6.5908900000000006E-8</v>
      </c>
      <c r="F2" s="6">
        <v>2.852E-2</v>
      </c>
      <c r="G2" s="8" t="s">
        <v>9</v>
      </c>
      <c r="H2" s="8">
        <v>50</v>
      </c>
      <c r="I2" s="8">
        <v>11.21</v>
      </c>
      <c r="J2" s="8">
        <v>586</v>
      </c>
      <c r="K2" s="9">
        <f>I2:I9/J2:J9</f>
        <v>1.9129692832764507E-2</v>
      </c>
      <c r="L2" s="9">
        <f>H2:H9^3</f>
        <v>125000</v>
      </c>
      <c r="M2" s="9">
        <f>(3*0.0000000659089*(J2:J9^2)*(H2:H9^2))/(2*25.05)</f>
        <v>3.3881515904790418</v>
      </c>
      <c r="N2" s="9">
        <f>M2:M9*1000</f>
        <v>3388.1515904790417</v>
      </c>
      <c r="O2">
        <f>AVERAGE(N3:N9)</f>
        <v>3405.3791566830837</v>
      </c>
    </row>
    <row r="3" spans="1:15" x14ac:dyDescent="0.3">
      <c r="G3" s="1">
        <v>1</v>
      </c>
      <c r="H3" s="1">
        <v>55</v>
      </c>
      <c r="I3" s="1">
        <v>21.22</v>
      </c>
      <c r="J3" s="1">
        <v>525.4</v>
      </c>
      <c r="K3" s="1">
        <f t="shared" ref="K3:K9" si="0">I3:I10/J3:J10</f>
        <v>4.0388275599543208E-2</v>
      </c>
      <c r="L3" s="1">
        <f t="shared" ref="L3:L9" si="1">H3:H10^3</f>
        <v>166375</v>
      </c>
      <c r="M3">
        <f t="shared" ref="M3:M9" si="2">(3*0.0000000659089*(J3:J10^2)*(H3:H10^2))/(2*25.05)</f>
        <v>3.2955894825700662</v>
      </c>
      <c r="N3">
        <f t="shared" ref="N3:N9" si="3">M3:M10*1000</f>
        <v>3295.5894825700661</v>
      </c>
    </row>
    <row r="4" spans="1:15" x14ac:dyDescent="0.3">
      <c r="G4" s="1">
        <v>2</v>
      </c>
      <c r="H4" s="1">
        <v>63</v>
      </c>
      <c r="I4" s="1">
        <v>21.71</v>
      </c>
      <c r="J4" s="1">
        <v>491.09</v>
      </c>
      <c r="K4" s="1">
        <f t="shared" si="0"/>
        <v>4.4207782687491093E-2</v>
      </c>
      <c r="L4" s="1">
        <f t="shared" si="1"/>
        <v>250047</v>
      </c>
      <c r="M4">
        <f t="shared" si="2"/>
        <v>3.7777296318438736</v>
      </c>
      <c r="N4">
        <f t="shared" si="3"/>
        <v>3777.7296318438734</v>
      </c>
    </row>
    <row r="5" spans="1:15" x14ac:dyDescent="0.3">
      <c r="G5" s="1">
        <v>3</v>
      </c>
      <c r="H5" s="1">
        <v>72</v>
      </c>
      <c r="I5" s="1">
        <v>22.01</v>
      </c>
      <c r="J5" s="1">
        <v>411.98</v>
      </c>
      <c r="K5" s="1">
        <f t="shared" si="0"/>
        <v>5.3424923539977673E-2</v>
      </c>
      <c r="L5" s="1">
        <f t="shared" si="1"/>
        <v>373248</v>
      </c>
      <c r="M5">
        <f t="shared" si="2"/>
        <v>3.4725207672818832</v>
      </c>
      <c r="N5">
        <f t="shared" si="3"/>
        <v>3472.5207672818833</v>
      </c>
    </row>
    <row r="6" spans="1:15" x14ac:dyDescent="0.3">
      <c r="G6" s="1">
        <v>4</v>
      </c>
      <c r="H6" s="1">
        <v>77</v>
      </c>
      <c r="I6" s="1">
        <v>22.51</v>
      </c>
      <c r="J6" s="1">
        <v>386.2</v>
      </c>
      <c r="K6" s="1">
        <f t="shared" si="0"/>
        <v>5.8285862247540142E-2</v>
      </c>
      <c r="L6" s="1">
        <f t="shared" si="1"/>
        <v>456533</v>
      </c>
      <c r="M6">
        <f t="shared" si="2"/>
        <v>3.4900655309950284</v>
      </c>
      <c r="N6">
        <f t="shared" si="3"/>
        <v>3490.0655309950284</v>
      </c>
    </row>
    <row r="7" spans="1:15" x14ac:dyDescent="0.3">
      <c r="G7" s="1">
        <v>5</v>
      </c>
      <c r="H7" s="1">
        <v>85</v>
      </c>
      <c r="I7" s="1">
        <v>23.38</v>
      </c>
      <c r="J7" s="1">
        <v>343.5</v>
      </c>
      <c r="K7" s="1">
        <f t="shared" si="0"/>
        <v>6.806404657933042E-2</v>
      </c>
      <c r="L7" s="1">
        <f t="shared" si="1"/>
        <v>614125</v>
      </c>
      <c r="M7">
        <f t="shared" si="2"/>
        <v>3.3644875573970432</v>
      </c>
      <c r="N7">
        <f t="shared" si="3"/>
        <v>3364.487557397043</v>
      </c>
    </row>
    <row r="8" spans="1:15" x14ac:dyDescent="0.3">
      <c r="G8" s="1">
        <v>6</v>
      </c>
      <c r="H8" s="1">
        <v>92</v>
      </c>
      <c r="I8" s="1">
        <v>24.76</v>
      </c>
      <c r="J8" s="1">
        <v>306.89999999999998</v>
      </c>
      <c r="K8" s="1">
        <f t="shared" si="0"/>
        <v>8.0677745193874231E-2</v>
      </c>
      <c r="L8" s="1">
        <f t="shared" si="1"/>
        <v>778688</v>
      </c>
      <c r="M8">
        <f t="shared" si="2"/>
        <v>3.1462774952408532</v>
      </c>
      <c r="N8">
        <f t="shared" si="3"/>
        <v>3146.2774952408531</v>
      </c>
    </row>
    <row r="9" spans="1:15" x14ac:dyDescent="0.3">
      <c r="G9" s="1">
        <v>7</v>
      </c>
      <c r="H9" s="1">
        <v>96</v>
      </c>
      <c r="I9" s="1">
        <v>26.12</v>
      </c>
      <c r="J9" s="1">
        <v>300.8</v>
      </c>
      <c r="K9" s="1">
        <f t="shared" si="0"/>
        <v>8.6835106382978727E-2</v>
      </c>
      <c r="L9" s="1">
        <f t="shared" si="1"/>
        <v>884736</v>
      </c>
      <c r="M9">
        <f t="shared" si="2"/>
        <v>3.2909836314528351</v>
      </c>
      <c r="N9">
        <f t="shared" si="3"/>
        <v>3290.9836314528352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0A3A-F2A5-4D9D-8F25-104629AD3C39}">
  <sheetPr>
    <tabColor theme="4" tint="0.59999389629810485"/>
  </sheetPr>
  <dimension ref="A1:O8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25" customWidth="1"/>
    <col min="6" max="6" width="9.25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39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38</v>
      </c>
      <c r="B2" s="6">
        <v>3.95</v>
      </c>
      <c r="C2" s="6">
        <v>25.11</v>
      </c>
      <c r="D2" s="6">
        <v>54</v>
      </c>
      <c r="E2" s="7">
        <v>6.8949000000000004E-8</v>
      </c>
      <c r="F2" s="6">
        <v>2.7650000000000001E-2</v>
      </c>
      <c r="G2" s="8" t="s">
        <v>9</v>
      </c>
      <c r="H2" s="8">
        <v>54</v>
      </c>
      <c r="I2" s="8">
        <v>12.27</v>
      </c>
      <c r="J2" s="8">
        <v>599.9</v>
      </c>
      <c r="K2" s="9">
        <f>I2:I9/J2:J9</f>
        <v>2.0453408901483582E-2</v>
      </c>
      <c r="L2" s="9">
        <f>H2:H9^3</f>
        <v>157464</v>
      </c>
      <c r="M2" s="9">
        <f>(3*0.000000068949*(J2:J9^2)*(H2:H9^2))/(2*25.11)</f>
        <v>4.3223284119756773</v>
      </c>
      <c r="N2" s="9">
        <f>M2:M9*1000</f>
        <v>4322.3284119756772</v>
      </c>
      <c r="O2">
        <f>AVERAGE(N3:N8)</f>
        <v>3846.6058193133449</v>
      </c>
    </row>
    <row r="3" spans="1:15" x14ac:dyDescent="0.3">
      <c r="G3" s="1">
        <v>1</v>
      </c>
      <c r="H3" s="1">
        <v>66</v>
      </c>
      <c r="I3" s="1">
        <v>22.36</v>
      </c>
      <c r="J3" s="1">
        <v>521</v>
      </c>
      <c r="K3">
        <f t="shared" ref="K3:K8" si="0">I3:I10/J3:J10</f>
        <v>4.2917466410748562E-2</v>
      </c>
      <c r="L3">
        <f t="shared" ref="L3:L8" si="1">H3:H10^3</f>
        <v>287496</v>
      </c>
      <c r="M3">
        <f t="shared" ref="M3:M8" si="2">(3*0.000000068949*(J3:J10^2)*(H3:H10^2))/(2*25.11)</f>
        <v>4.8700770894387091</v>
      </c>
      <c r="N3">
        <f t="shared" ref="N3:N8" si="3">M3:M10*1000</f>
        <v>4870.0770894387088</v>
      </c>
    </row>
    <row r="4" spans="1:15" x14ac:dyDescent="0.3">
      <c r="G4" s="1">
        <v>2</v>
      </c>
      <c r="H4" s="1">
        <v>75</v>
      </c>
      <c r="I4" s="1">
        <v>23.44</v>
      </c>
      <c r="J4" s="1">
        <v>394.5</v>
      </c>
      <c r="K4">
        <f t="shared" si="0"/>
        <v>5.9416983523447403E-2</v>
      </c>
      <c r="L4">
        <f t="shared" si="1"/>
        <v>421875</v>
      </c>
      <c r="M4">
        <f t="shared" si="2"/>
        <v>3.6056956005544354</v>
      </c>
      <c r="N4">
        <f t="shared" si="3"/>
        <v>3605.6956005544353</v>
      </c>
    </row>
    <row r="5" spans="1:15" x14ac:dyDescent="0.3">
      <c r="G5" s="1">
        <v>3</v>
      </c>
      <c r="H5" s="1">
        <v>78</v>
      </c>
      <c r="I5" s="1">
        <v>23.91</v>
      </c>
      <c r="J5" s="1">
        <v>370.8</v>
      </c>
      <c r="K5">
        <f t="shared" si="0"/>
        <v>6.4482200647249188E-2</v>
      </c>
      <c r="L5">
        <f t="shared" si="1"/>
        <v>474552</v>
      </c>
      <c r="M5">
        <f t="shared" si="2"/>
        <v>3.4454120988727746</v>
      </c>
      <c r="N5">
        <f t="shared" si="3"/>
        <v>3445.4120988727745</v>
      </c>
    </row>
    <row r="6" spans="1:15" x14ac:dyDescent="0.3">
      <c r="G6" s="1">
        <v>4</v>
      </c>
      <c r="H6" s="1">
        <v>86</v>
      </c>
      <c r="I6" s="1">
        <v>24.88</v>
      </c>
      <c r="J6" s="1">
        <v>348.3</v>
      </c>
      <c r="K6">
        <f t="shared" si="0"/>
        <v>7.143267298306058E-2</v>
      </c>
      <c r="L6">
        <f t="shared" si="1"/>
        <v>636056</v>
      </c>
      <c r="M6">
        <f t="shared" si="2"/>
        <v>3.6955269139488394</v>
      </c>
      <c r="N6">
        <f t="shared" si="3"/>
        <v>3695.5269139488391</v>
      </c>
    </row>
    <row r="7" spans="1:15" x14ac:dyDescent="0.3">
      <c r="G7" s="1">
        <v>5</v>
      </c>
      <c r="H7" s="1">
        <v>90</v>
      </c>
      <c r="I7" s="1">
        <v>25.84</v>
      </c>
      <c r="J7" s="1">
        <v>334.5</v>
      </c>
      <c r="K7">
        <f t="shared" si="0"/>
        <v>7.7249626307922273E-2</v>
      </c>
      <c r="L7">
        <f t="shared" si="1"/>
        <v>729000</v>
      </c>
      <c r="M7">
        <f t="shared" si="2"/>
        <v>3.7329294422177419</v>
      </c>
      <c r="N7">
        <f t="shared" si="3"/>
        <v>3732.9294422177418</v>
      </c>
    </row>
    <row r="8" spans="1:15" x14ac:dyDescent="0.3">
      <c r="G8" s="1">
        <v>6</v>
      </c>
      <c r="H8" s="1">
        <v>94</v>
      </c>
      <c r="I8" s="1">
        <v>26.71</v>
      </c>
      <c r="J8" s="1">
        <v>320.14</v>
      </c>
      <c r="K8">
        <f t="shared" si="0"/>
        <v>8.3432248391328803E-2</v>
      </c>
      <c r="L8">
        <f t="shared" si="1"/>
        <v>830584</v>
      </c>
      <c r="M8">
        <f t="shared" si="2"/>
        <v>3.7299937708475706</v>
      </c>
      <c r="N8">
        <f t="shared" si="3"/>
        <v>3729.9937708475704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D96E-F7A5-4157-9618-A3F876A14AC7}">
  <dimension ref="A1:O10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7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65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64</v>
      </c>
      <c r="B2" s="6">
        <v>3.8567</v>
      </c>
      <c r="C2" s="6">
        <v>25.0733</v>
      </c>
      <c r="D2" s="6">
        <v>53</v>
      </c>
      <c r="E2" s="7">
        <v>6.4949600000000001E-8</v>
      </c>
      <c r="F2" s="6">
        <v>3.2190000000000003E-2</v>
      </c>
      <c r="G2" s="8" t="s">
        <v>9</v>
      </c>
      <c r="H2" s="8">
        <v>53</v>
      </c>
      <c r="I2" s="8">
        <v>12.688000000000001</v>
      </c>
      <c r="J2" s="8">
        <v>576.70000000000005</v>
      </c>
      <c r="K2" s="9">
        <f>I2:I9/J2:J9</f>
        <v>2.2001040402288886E-2</v>
      </c>
      <c r="L2" s="9">
        <f>H2:H9^3</f>
        <v>148877</v>
      </c>
      <c r="M2" s="9">
        <f>(3*0.0000000649496*(J2:J9^2)*(H2:H9^2))/(2*25.0733)</f>
        <v>3.6300105299430658</v>
      </c>
      <c r="N2" s="9">
        <f>M2:M9*1000</f>
        <v>3630.0105299430656</v>
      </c>
      <c r="O2">
        <f>AVERAGE(N3:N10)</f>
        <v>3689.5238105305316</v>
      </c>
    </row>
    <row r="3" spans="1:15" x14ac:dyDescent="0.3">
      <c r="G3" s="1">
        <v>1</v>
      </c>
      <c r="H3" s="1">
        <v>57</v>
      </c>
      <c r="I3" s="1">
        <v>23.25</v>
      </c>
      <c r="J3" s="1">
        <v>531.9</v>
      </c>
      <c r="K3">
        <f t="shared" ref="K3:K10" si="0">I3:I10/J3:J10</f>
        <v>4.3711223914269598E-2</v>
      </c>
      <c r="L3">
        <f t="shared" ref="L3:L10" si="1">H3:H10^3</f>
        <v>185193</v>
      </c>
      <c r="M3">
        <f t="shared" ref="M3:M10" si="2">(3*0.0000000649496*(J3:J10^2)*(H3:H10^2))/(2*25.0733)</f>
        <v>3.5716256628991525</v>
      </c>
      <c r="N3">
        <f t="shared" ref="N3:N10" si="3">M3:M10*1000</f>
        <v>3571.6256628991523</v>
      </c>
    </row>
    <row r="4" spans="1:15" x14ac:dyDescent="0.3">
      <c r="G4" s="1">
        <v>2</v>
      </c>
      <c r="H4" s="1">
        <v>62</v>
      </c>
      <c r="I4" s="1">
        <v>23.74</v>
      </c>
      <c r="J4" s="1">
        <v>508.7</v>
      </c>
      <c r="K4">
        <f t="shared" si="0"/>
        <v>4.6667977196776095E-2</v>
      </c>
      <c r="L4">
        <f t="shared" si="1"/>
        <v>238328</v>
      </c>
      <c r="M4">
        <f t="shared" si="2"/>
        <v>3.8651210244930505</v>
      </c>
      <c r="N4">
        <f t="shared" si="3"/>
        <v>3865.1210244930503</v>
      </c>
    </row>
    <row r="5" spans="1:15" x14ac:dyDescent="0.3">
      <c r="G5" s="1">
        <v>3</v>
      </c>
      <c r="H5" s="1">
        <v>66</v>
      </c>
      <c r="I5" s="1">
        <v>24.03</v>
      </c>
      <c r="J5" s="1">
        <v>476.1</v>
      </c>
      <c r="K5">
        <f t="shared" si="0"/>
        <v>5.0472589792060492E-2</v>
      </c>
      <c r="L5">
        <f t="shared" si="1"/>
        <v>287496</v>
      </c>
      <c r="M5">
        <f t="shared" si="2"/>
        <v>3.8365465928664579</v>
      </c>
      <c r="N5">
        <f t="shared" si="3"/>
        <v>3836.546592866458</v>
      </c>
    </row>
    <row r="6" spans="1:15" x14ac:dyDescent="0.3">
      <c r="G6" s="1">
        <v>4</v>
      </c>
      <c r="H6" s="1">
        <v>71</v>
      </c>
      <c r="I6" s="1">
        <v>24.37</v>
      </c>
      <c r="J6" s="1">
        <v>431.8</v>
      </c>
      <c r="K6">
        <f t="shared" si="0"/>
        <v>5.6438165817508108E-2</v>
      </c>
      <c r="L6">
        <f t="shared" si="1"/>
        <v>357911</v>
      </c>
      <c r="M6">
        <f t="shared" si="2"/>
        <v>3.652062625937412</v>
      </c>
      <c r="N6">
        <f t="shared" si="3"/>
        <v>3652.0626259374121</v>
      </c>
    </row>
    <row r="7" spans="1:15" x14ac:dyDescent="0.3">
      <c r="G7" s="1">
        <v>5</v>
      </c>
      <c r="H7" s="1">
        <v>76</v>
      </c>
      <c r="I7" s="1">
        <v>24.75</v>
      </c>
      <c r="J7" s="1">
        <v>403.7</v>
      </c>
      <c r="K7">
        <f t="shared" si="0"/>
        <v>6.1307901907356951E-2</v>
      </c>
      <c r="L7">
        <f t="shared" si="1"/>
        <v>438976</v>
      </c>
      <c r="M7">
        <f t="shared" si="2"/>
        <v>3.6576397305608737</v>
      </c>
      <c r="N7">
        <f t="shared" si="3"/>
        <v>3657.6397305608734</v>
      </c>
    </row>
    <row r="8" spans="1:15" x14ac:dyDescent="0.3">
      <c r="G8" s="1">
        <v>6</v>
      </c>
      <c r="H8" s="1">
        <v>83</v>
      </c>
      <c r="I8" s="1">
        <v>25.97</v>
      </c>
      <c r="J8" s="1">
        <v>363.8</v>
      </c>
      <c r="K8">
        <f t="shared" si="0"/>
        <v>7.1385376580538756E-2</v>
      </c>
      <c r="L8">
        <f t="shared" si="1"/>
        <v>571787</v>
      </c>
      <c r="M8">
        <f t="shared" si="2"/>
        <v>3.5427280590191286</v>
      </c>
      <c r="N8">
        <f t="shared" si="3"/>
        <v>3542.7280590191285</v>
      </c>
    </row>
    <row r="9" spans="1:15" x14ac:dyDescent="0.3">
      <c r="G9" s="1">
        <v>7</v>
      </c>
      <c r="H9" s="1">
        <v>90</v>
      </c>
      <c r="I9" s="1">
        <v>27.03</v>
      </c>
      <c r="J9" s="1">
        <v>344.9</v>
      </c>
      <c r="K9">
        <f t="shared" si="0"/>
        <v>7.8370542186140923E-2</v>
      </c>
      <c r="L9">
        <f t="shared" si="1"/>
        <v>729000</v>
      </c>
      <c r="M9">
        <f t="shared" si="2"/>
        <v>3.7439293988113409</v>
      </c>
      <c r="N9">
        <f t="shared" si="3"/>
        <v>3743.9293988113409</v>
      </c>
    </row>
    <row r="10" spans="1:15" x14ac:dyDescent="0.3">
      <c r="G10" s="1">
        <v>8</v>
      </c>
      <c r="H10" s="1">
        <v>94</v>
      </c>
      <c r="I10" s="1">
        <v>27.87</v>
      </c>
      <c r="J10" s="1">
        <v>325.89999999999998</v>
      </c>
      <c r="K10">
        <f t="shared" si="0"/>
        <v>8.5517029763731212E-2</v>
      </c>
      <c r="L10">
        <f t="shared" si="1"/>
        <v>830584</v>
      </c>
      <c r="M10">
        <f t="shared" si="2"/>
        <v>3.6465373896568338</v>
      </c>
      <c r="N10">
        <f t="shared" si="3"/>
        <v>3646.537389656834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3AD8-8978-41DB-97BF-C70F17F1900F}">
  <dimension ref="A1:O10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1.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67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66</v>
      </c>
      <c r="B2" s="6">
        <v>3.8767</v>
      </c>
      <c r="C2" s="6">
        <v>25</v>
      </c>
      <c r="D2" s="6">
        <v>50</v>
      </c>
      <c r="E2" s="7">
        <v>6.4213700000000005E-8</v>
      </c>
      <c r="F2" s="6">
        <v>3.0540000000000001E-2</v>
      </c>
      <c r="G2" s="8" t="s">
        <v>9</v>
      </c>
      <c r="H2" s="8">
        <v>50</v>
      </c>
      <c r="I2" s="8">
        <v>13.22</v>
      </c>
      <c r="J2" s="8">
        <v>662.1</v>
      </c>
      <c r="K2" s="9">
        <f>I2:I9/J2:J9</f>
        <v>1.9966772390877512E-2</v>
      </c>
      <c r="L2" s="9">
        <f>H2:H9^3</f>
        <v>125000</v>
      </c>
      <c r="M2" s="9">
        <f>(3*0.0000000642137*(J2:J9^2)*(H2:H9^2))/(2*25)</f>
        <v>4.2224656918225509</v>
      </c>
      <c r="N2" s="9">
        <f>M2:M9*1000</f>
        <v>4222.465691822551</v>
      </c>
      <c r="O2">
        <f>AVERAGE(N3:N9)</f>
        <v>4390.4292230069022</v>
      </c>
    </row>
    <row r="3" spans="1:15" x14ac:dyDescent="0.3">
      <c r="G3" s="1">
        <v>1</v>
      </c>
      <c r="H3" s="1">
        <v>56</v>
      </c>
      <c r="I3" s="1">
        <v>25.42</v>
      </c>
      <c r="J3" s="1">
        <v>605.6</v>
      </c>
      <c r="K3">
        <f t="shared" ref="K3:K9" si="0">I3:I10/J3:J10</f>
        <v>4.1974900924702775E-2</v>
      </c>
      <c r="L3">
        <f t="shared" ref="L3:L9" si="1">H3:H10^3</f>
        <v>175616</v>
      </c>
      <c r="M3">
        <f t="shared" ref="M3:M9" si="2">(3*0.0000000642137*(J3:J10^2)*(H3:H10^2))/(2*25)</f>
        <v>4.4312548933477185</v>
      </c>
      <c r="N3">
        <f t="shared" ref="N3:N9" si="3">M3:M10*1000</f>
        <v>4431.2548933477183</v>
      </c>
    </row>
    <row r="4" spans="1:15" x14ac:dyDescent="0.3">
      <c r="G4" s="1">
        <v>2</v>
      </c>
      <c r="H4" s="1">
        <v>67</v>
      </c>
      <c r="I4" s="1">
        <v>25.73</v>
      </c>
      <c r="J4" s="1">
        <v>531.9</v>
      </c>
      <c r="K4">
        <f t="shared" si="0"/>
        <v>4.8373754465125027E-2</v>
      </c>
      <c r="L4">
        <f t="shared" si="1"/>
        <v>300763</v>
      </c>
      <c r="M4">
        <f t="shared" si="2"/>
        <v>4.8931500208674414</v>
      </c>
      <c r="N4">
        <f t="shared" si="3"/>
        <v>4893.1500208674415</v>
      </c>
    </row>
    <row r="5" spans="1:15" x14ac:dyDescent="0.3">
      <c r="G5" s="1">
        <v>3</v>
      </c>
      <c r="H5" s="1">
        <v>72</v>
      </c>
      <c r="I5" s="1">
        <v>25.9</v>
      </c>
      <c r="J5" s="1">
        <v>476.7</v>
      </c>
      <c r="K5">
        <f t="shared" si="0"/>
        <v>5.4331864904552128E-2</v>
      </c>
      <c r="L5">
        <f t="shared" si="1"/>
        <v>373248</v>
      </c>
      <c r="M5">
        <f t="shared" si="2"/>
        <v>4.5387288883700476</v>
      </c>
      <c r="N5">
        <f t="shared" si="3"/>
        <v>4538.7288883700476</v>
      </c>
    </row>
    <row r="6" spans="1:15" x14ac:dyDescent="0.3">
      <c r="G6" s="1">
        <v>4</v>
      </c>
      <c r="H6" s="1">
        <v>76</v>
      </c>
      <c r="I6" s="1">
        <v>26.23</v>
      </c>
      <c r="J6" s="1">
        <v>438.6</v>
      </c>
      <c r="K6">
        <f t="shared" si="0"/>
        <v>5.9803921568627447E-2</v>
      </c>
      <c r="L6">
        <f t="shared" si="1"/>
        <v>438976</v>
      </c>
      <c r="M6">
        <f t="shared" si="2"/>
        <v>4.2809818282206455</v>
      </c>
      <c r="N6">
        <f t="shared" si="3"/>
        <v>4280.9818282206452</v>
      </c>
    </row>
    <row r="7" spans="1:15" x14ac:dyDescent="0.3">
      <c r="G7" s="1">
        <v>5</v>
      </c>
      <c r="H7" s="1">
        <v>85</v>
      </c>
      <c r="I7" s="1">
        <v>27.53</v>
      </c>
      <c r="J7" s="1">
        <v>387.3</v>
      </c>
      <c r="K7">
        <f t="shared" si="0"/>
        <v>7.1081848696101207E-2</v>
      </c>
      <c r="L7">
        <f t="shared" si="1"/>
        <v>614125</v>
      </c>
      <c r="M7">
        <f t="shared" si="2"/>
        <v>4.1755317517642467</v>
      </c>
      <c r="N7">
        <f t="shared" si="3"/>
        <v>4175.531751764247</v>
      </c>
    </row>
    <row r="8" spans="1:15" x14ac:dyDescent="0.3">
      <c r="G8" s="1">
        <v>6</v>
      </c>
      <c r="H8" s="1">
        <v>91</v>
      </c>
      <c r="I8" s="1">
        <v>28.7</v>
      </c>
      <c r="J8" s="1">
        <v>361.2</v>
      </c>
      <c r="K8">
        <f t="shared" si="0"/>
        <v>7.9457364341085274E-2</v>
      </c>
      <c r="L8">
        <f t="shared" si="1"/>
        <v>753571</v>
      </c>
      <c r="M8">
        <f t="shared" si="2"/>
        <v>4.1625284327829819</v>
      </c>
      <c r="N8">
        <f t="shared" si="3"/>
        <v>4162.5284327829822</v>
      </c>
    </row>
    <row r="9" spans="1:15" x14ac:dyDescent="0.3">
      <c r="G9" s="1">
        <v>7</v>
      </c>
      <c r="H9" s="1">
        <v>96</v>
      </c>
      <c r="I9" s="1">
        <v>29.81</v>
      </c>
      <c r="J9" s="1">
        <v>346</v>
      </c>
      <c r="K9">
        <f t="shared" si="0"/>
        <v>8.6156069364161841E-2</v>
      </c>
      <c r="L9">
        <f t="shared" si="1"/>
        <v>884736</v>
      </c>
      <c r="M9">
        <f t="shared" si="2"/>
        <v>4.2508287456952329</v>
      </c>
      <c r="N9">
        <f t="shared" si="3"/>
        <v>4250.828745695233</v>
      </c>
    </row>
    <row r="10" spans="1:15" x14ac:dyDescent="0.3">
      <c r="G10" s="1"/>
      <c r="H10" s="1"/>
      <c r="I10" s="1"/>
      <c r="J10" s="1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6331-8221-4F7D-B7B7-60F3BE9600AE}">
  <dimension ref="A1:O9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1.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69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68</v>
      </c>
      <c r="B2" s="6">
        <v>3.89</v>
      </c>
      <c r="C2" s="6">
        <v>25.04</v>
      </c>
      <c r="D2" s="6">
        <v>52</v>
      </c>
      <c r="E2" s="7">
        <v>6.3956999999999995E-8</v>
      </c>
      <c r="F2" s="6">
        <v>3.1629999999999998E-2</v>
      </c>
      <c r="G2" s="8" t="s">
        <v>9</v>
      </c>
      <c r="H2" s="8">
        <v>52</v>
      </c>
      <c r="I2" s="8">
        <v>12.85</v>
      </c>
      <c r="J2" s="8">
        <v>581.4</v>
      </c>
      <c r="K2" s="9">
        <f>I2:I9/J2:J9</f>
        <v>2.2101823185414517E-2</v>
      </c>
      <c r="L2" s="9">
        <f>H2:H9^3</f>
        <v>140608</v>
      </c>
      <c r="M2" s="9">
        <f>(3*0.000000063957*(J2:J9^2)*(H2:H9^2))/(2*25.04)</f>
        <v>3.5018840402958591</v>
      </c>
      <c r="N2" s="9">
        <f>M2:M9*1000</f>
        <v>3501.884040295859</v>
      </c>
      <c r="O2">
        <f>AVERAGE(N3:N9)</f>
        <v>3732.5705264262074</v>
      </c>
    </row>
    <row r="3" spans="1:15" x14ac:dyDescent="0.3">
      <c r="G3" s="1">
        <v>1</v>
      </c>
      <c r="H3" s="1">
        <v>59</v>
      </c>
      <c r="I3" s="1">
        <v>23.56</v>
      </c>
      <c r="J3" s="1">
        <v>526.4</v>
      </c>
      <c r="K3">
        <f t="shared" ref="K3:K9" si="0">I3:I10/J3:J10</f>
        <v>4.4756838905775073E-2</v>
      </c>
      <c r="L3">
        <f t="shared" ref="L3:L9" si="1">H3:H10^3</f>
        <v>205379</v>
      </c>
      <c r="M3">
        <f t="shared" ref="M3:M9" si="2">(3*0.000000063957*(J3:J10^2)*(H3:H10^2))/(2*25.04)</f>
        <v>3.695564642514555</v>
      </c>
      <c r="N3">
        <f t="shared" ref="N3:N9" si="3">M3:M10*1000</f>
        <v>3695.5646425145551</v>
      </c>
    </row>
    <row r="4" spans="1:15" x14ac:dyDescent="0.3">
      <c r="G4" s="1">
        <v>2</v>
      </c>
      <c r="H4" s="1">
        <v>68</v>
      </c>
      <c r="I4" s="1">
        <v>24.07</v>
      </c>
      <c r="J4" s="1">
        <v>468.1</v>
      </c>
      <c r="K4">
        <f t="shared" si="0"/>
        <v>5.1420636616107671E-2</v>
      </c>
      <c r="L4">
        <f t="shared" si="1"/>
        <v>314432</v>
      </c>
      <c r="M4">
        <f t="shared" si="2"/>
        <v>3.8818623067289422</v>
      </c>
      <c r="N4">
        <f t="shared" si="3"/>
        <v>3881.8623067289423</v>
      </c>
    </row>
    <row r="5" spans="1:15" x14ac:dyDescent="0.3">
      <c r="G5" s="1">
        <v>3</v>
      </c>
      <c r="H5" s="1">
        <v>75</v>
      </c>
      <c r="I5" s="1">
        <v>24.54</v>
      </c>
      <c r="J5" s="1">
        <v>410.1</v>
      </c>
      <c r="K5">
        <f t="shared" si="0"/>
        <v>5.9839063643013897E-2</v>
      </c>
      <c r="L5">
        <f t="shared" si="1"/>
        <v>421875</v>
      </c>
      <c r="M5">
        <f t="shared" si="2"/>
        <v>3.6244914881987573</v>
      </c>
      <c r="N5">
        <f t="shared" si="3"/>
        <v>3624.4914881987575</v>
      </c>
    </row>
    <row r="6" spans="1:15" x14ac:dyDescent="0.3">
      <c r="G6" s="1">
        <v>4</v>
      </c>
      <c r="H6" s="1">
        <v>82</v>
      </c>
      <c r="I6" s="1">
        <v>25.32</v>
      </c>
      <c r="J6" s="1">
        <v>386.7</v>
      </c>
      <c r="K6">
        <f t="shared" si="0"/>
        <v>6.5477114041892936E-2</v>
      </c>
      <c r="L6">
        <f t="shared" si="1"/>
        <v>551368</v>
      </c>
      <c r="M6">
        <f t="shared" si="2"/>
        <v>3.8523085779728743</v>
      </c>
      <c r="N6">
        <f t="shared" si="3"/>
        <v>3852.3085779728744</v>
      </c>
    </row>
    <row r="7" spans="1:15" x14ac:dyDescent="0.3">
      <c r="G7" s="1">
        <v>5</v>
      </c>
      <c r="H7" s="1">
        <v>85</v>
      </c>
      <c r="I7" s="1">
        <v>26</v>
      </c>
      <c r="J7" s="1">
        <v>370.7</v>
      </c>
      <c r="K7">
        <f t="shared" si="0"/>
        <v>7.0137577555975189E-2</v>
      </c>
      <c r="L7">
        <f t="shared" si="1"/>
        <v>614125</v>
      </c>
      <c r="M7">
        <f t="shared" si="2"/>
        <v>3.8038908118981176</v>
      </c>
      <c r="N7">
        <f t="shared" si="3"/>
        <v>3803.8908118981176</v>
      </c>
    </row>
    <row r="8" spans="1:15" x14ac:dyDescent="0.3">
      <c r="G8" s="1">
        <v>6</v>
      </c>
      <c r="H8" s="1">
        <v>88</v>
      </c>
      <c r="I8" s="1">
        <v>26.64</v>
      </c>
      <c r="J8" s="1">
        <v>346.5</v>
      </c>
      <c r="K8">
        <f t="shared" si="0"/>
        <v>7.6883116883116887E-2</v>
      </c>
      <c r="L8">
        <f t="shared" si="1"/>
        <v>681472</v>
      </c>
      <c r="M8">
        <f t="shared" si="2"/>
        <v>3.5621880387728435</v>
      </c>
      <c r="N8">
        <f t="shared" si="3"/>
        <v>3562.1880387728434</v>
      </c>
    </row>
    <row r="9" spans="1:15" x14ac:dyDescent="0.3">
      <c r="G9" s="1">
        <v>7</v>
      </c>
      <c r="H9" s="1">
        <v>93</v>
      </c>
      <c r="I9" s="1">
        <v>27.67</v>
      </c>
      <c r="J9" s="1">
        <v>334.5</v>
      </c>
      <c r="K9">
        <f t="shared" si="0"/>
        <v>8.2720478325859492E-2</v>
      </c>
      <c r="L9">
        <f t="shared" si="1"/>
        <v>804357</v>
      </c>
      <c r="M9">
        <f t="shared" si="2"/>
        <v>3.7076878188973592</v>
      </c>
      <c r="N9">
        <f t="shared" si="3"/>
        <v>3707.6878188973592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21F7-9BC1-4C5B-A3E4-CF285190431A}">
  <dimension ref="A1:O12"/>
  <sheetViews>
    <sheetView topLeftCell="B1"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1.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71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70</v>
      </c>
      <c r="B2" s="6">
        <v>3.8733</v>
      </c>
      <c r="C2" s="6">
        <v>25.05</v>
      </c>
      <c r="D2" s="6">
        <v>57</v>
      </c>
      <c r="E2" s="7">
        <v>6.2223599999999993E-8</v>
      </c>
      <c r="F2" s="6">
        <v>3.0790000000000001E-2</v>
      </c>
      <c r="G2" s="8" t="s">
        <v>9</v>
      </c>
      <c r="H2" s="8">
        <v>57</v>
      </c>
      <c r="I2" s="8">
        <v>13.49</v>
      </c>
      <c r="J2" s="8">
        <v>638.70000000000005</v>
      </c>
      <c r="K2" s="9">
        <f>I2:I9/J2:J9</f>
        <v>2.1121027086268982E-2</v>
      </c>
      <c r="L2" s="9">
        <f>H2:H9^3</f>
        <v>185193</v>
      </c>
      <c r="M2" s="9">
        <f>(3*0.0000000622236*(J2:J9^2)*(H2:H9^2))/(2*25.05)</f>
        <v>4.9383538624356591</v>
      </c>
      <c r="N2" s="9">
        <f>M2:M9*1000</f>
        <v>4938.3538624356588</v>
      </c>
      <c r="O2">
        <f>AVERAGE(N3:N12)</f>
        <v>3995.710728509001</v>
      </c>
    </row>
    <row r="3" spans="1:15" x14ac:dyDescent="0.3">
      <c r="G3" s="1">
        <v>1</v>
      </c>
      <c r="H3" s="1">
        <v>61</v>
      </c>
      <c r="I3" s="1">
        <v>23.71</v>
      </c>
      <c r="J3" s="1">
        <v>523.5</v>
      </c>
      <c r="K3">
        <f t="shared" ref="K3:K12" si="0">I3:I10/J3:J10</f>
        <v>4.5291308500477558E-2</v>
      </c>
      <c r="L3">
        <f t="shared" ref="L3:L12" si="1">H3:H10^3</f>
        <v>226981</v>
      </c>
      <c r="M3">
        <f t="shared" ref="M3:M12" si="2">(3*0.0000000622236*(J3:J10^2)*(H3:H10^2))/(2*25.05)</f>
        <v>3.799545983635634</v>
      </c>
      <c r="N3">
        <f t="shared" ref="N3:N12" si="3">M3:M10*1000</f>
        <v>3799.545983635634</v>
      </c>
    </row>
    <row r="4" spans="1:15" x14ac:dyDescent="0.3">
      <c r="G4" s="1">
        <v>2</v>
      </c>
      <c r="H4" s="1">
        <v>65</v>
      </c>
      <c r="I4" s="1">
        <v>24.36</v>
      </c>
      <c r="J4" s="1">
        <v>504.2</v>
      </c>
      <c r="K4">
        <f t="shared" si="0"/>
        <v>4.8314161047203492E-2</v>
      </c>
      <c r="L4">
        <f t="shared" si="1"/>
        <v>274625</v>
      </c>
      <c r="M4">
        <f t="shared" si="2"/>
        <v>4.0019444757296041</v>
      </c>
      <c r="N4">
        <f t="shared" si="3"/>
        <v>4001.9444757296042</v>
      </c>
    </row>
    <row r="5" spans="1:15" x14ac:dyDescent="0.3">
      <c r="G5" s="1">
        <v>3</v>
      </c>
      <c r="H5" s="1">
        <v>70</v>
      </c>
      <c r="I5" s="1">
        <v>24.66</v>
      </c>
      <c r="J5" s="1">
        <v>476</v>
      </c>
      <c r="K5">
        <f t="shared" si="0"/>
        <v>5.1806722689075629E-2</v>
      </c>
      <c r="L5">
        <f t="shared" si="1"/>
        <v>343000</v>
      </c>
      <c r="M5">
        <f t="shared" si="2"/>
        <v>4.1366487741700597</v>
      </c>
      <c r="N5">
        <f t="shared" si="3"/>
        <v>4136.6487741700594</v>
      </c>
    </row>
    <row r="6" spans="1:15" x14ac:dyDescent="0.3">
      <c r="G6" s="1">
        <v>4</v>
      </c>
      <c r="H6" s="1">
        <v>74</v>
      </c>
      <c r="I6" s="1">
        <v>25.08</v>
      </c>
      <c r="J6" s="1">
        <v>450.7</v>
      </c>
      <c r="K6">
        <f t="shared" si="0"/>
        <v>5.5646771688484579E-2</v>
      </c>
      <c r="L6">
        <f t="shared" si="1"/>
        <v>405224</v>
      </c>
      <c r="M6">
        <f t="shared" si="2"/>
        <v>4.14454842622877</v>
      </c>
      <c r="N6">
        <f t="shared" si="3"/>
        <v>4144.54842622877</v>
      </c>
    </row>
    <row r="7" spans="1:15" x14ac:dyDescent="0.3">
      <c r="G7" s="1">
        <v>5</v>
      </c>
      <c r="H7" s="1">
        <v>80</v>
      </c>
      <c r="I7" s="1">
        <v>25.73</v>
      </c>
      <c r="J7" s="1">
        <v>417</v>
      </c>
      <c r="K7">
        <f t="shared" si="0"/>
        <v>6.1702637889688251E-2</v>
      </c>
      <c r="L7">
        <f t="shared" si="1"/>
        <v>512000</v>
      </c>
      <c r="M7">
        <f t="shared" si="2"/>
        <v>4.1465866655425136</v>
      </c>
      <c r="N7">
        <f t="shared" si="3"/>
        <v>4146.5866655425134</v>
      </c>
    </row>
    <row r="8" spans="1:15" x14ac:dyDescent="0.3">
      <c r="G8" s="1">
        <v>6</v>
      </c>
      <c r="H8" s="1">
        <v>84</v>
      </c>
      <c r="I8" s="1">
        <v>26.43</v>
      </c>
      <c r="J8" s="1">
        <v>384.6</v>
      </c>
      <c r="K8">
        <f t="shared" si="0"/>
        <v>6.8720748829953188E-2</v>
      </c>
      <c r="L8">
        <f t="shared" si="1"/>
        <v>592704</v>
      </c>
      <c r="M8">
        <f t="shared" si="2"/>
        <v>3.8888016717283027</v>
      </c>
      <c r="N8">
        <f t="shared" si="3"/>
        <v>3888.8016717283026</v>
      </c>
    </row>
    <row r="9" spans="1:15" x14ac:dyDescent="0.3">
      <c r="G9" s="1">
        <v>7</v>
      </c>
      <c r="H9" s="1">
        <v>89</v>
      </c>
      <c r="I9" s="1">
        <v>27.37</v>
      </c>
      <c r="J9" s="1">
        <v>366.9</v>
      </c>
      <c r="K9">
        <f t="shared" si="0"/>
        <v>7.4597983101662588E-2</v>
      </c>
      <c r="L9">
        <f t="shared" si="1"/>
        <v>704969</v>
      </c>
      <c r="M9">
        <f t="shared" si="2"/>
        <v>3.972959149784832</v>
      </c>
      <c r="N9">
        <f t="shared" si="3"/>
        <v>3972.9591497848319</v>
      </c>
    </row>
    <row r="10" spans="1:15" x14ac:dyDescent="0.3">
      <c r="G10" s="1">
        <v>8</v>
      </c>
      <c r="H10" s="1">
        <v>91</v>
      </c>
      <c r="I10" s="1">
        <v>27.76</v>
      </c>
      <c r="J10" s="1">
        <v>360.3</v>
      </c>
      <c r="K10">
        <f t="shared" si="0"/>
        <v>7.7046905356647238E-2</v>
      </c>
      <c r="L10">
        <f t="shared" si="1"/>
        <v>753571</v>
      </c>
      <c r="M10">
        <f t="shared" si="2"/>
        <v>4.0054376128390681</v>
      </c>
      <c r="N10">
        <f t="shared" si="3"/>
        <v>4005.4376128390682</v>
      </c>
    </row>
    <row r="11" spans="1:15" x14ac:dyDescent="0.3">
      <c r="G11" s="1">
        <v>9</v>
      </c>
      <c r="H11" s="1">
        <v>94</v>
      </c>
      <c r="I11" s="1">
        <v>28.4</v>
      </c>
      <c r="J11" s="1">
        <v>348.2</v>
      </c>
      <c r="K11">
        <f t="shared" si="0"/>
        <v>8.1562320505456629E-2</v>
      </c>
      <c r="L11">
        <f t="shared" si="1"/>
        <v>830584</v>
      </c>
      <c r="M11">
        <f t="shared" si="2"/>
        <v>3.9916449409429875</v>
      </c>
      <c r="N11">
        <f t="shared" si="3"/>
        <v>3991.6449409429874</v>
      </c>
    </row>
    <row r="12" spans="1:15" x14ac:dyDescent="0.3">
      <c r="G12" s="1">
        <v>10</v>
      </c>
      <c r="H12" s="1">
        <v>95</v>
      </c>
      <c r="I12" s="1">
        <v>29.02</v>
      </c>
      <c r="J12" s="1">
        <v>339.2</v>
      </c>
      <c r="K12">
        <f t="shared" si="0"/>
        <v>8.5554245283018873E-2</v>
      </c>
      <c r="L12">
        <f t="shared" si="1"/>
        <v>857375</v>
      </c>
      <c r="M12">
        <f t="shared" si="2"/>
        <v>3.8689895844882392</v>
      </c>
      <c r="N12">
        <f t="shared" si="3"/>
        <v>3868.989584488239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D474-CCD0-426E-8EBB-E7E434D3B5DC}">
  <dimension ref="A1:O9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73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72</v>
      </c>
      <c r="B2" s="6">
        <v>3.8666999999999998</v>
      </c>
      <c r="C2" s="6">
        <v>25.07</v>
      </c>
      <c r="D2" s="6">
        <v>54</v>
      </c>
      <c r="E2" s="7">
        <v>6.4563999999999995E-8</v>
      </c>
      <c r="F2" s="6">
        <v>2.6939999999999999E-2</v>
      </c>
      <c r="G2" s="8" t="s">
        <v>9</v>
      </c>
      <c r="H2" s="8">
        <v>54</v>
      </c>
      <c r="I2" s="8">
        <v>12.67</v>
      </c>
      <c r="J2" s="8">
        <v>616.5</v>
      </c>
      <c r="K2" s="9">
        <f>I2:I9/J2:J9</f>
        <v>2.0551500405515004E-2</v>
      </c>
      <c r="L2" s="9">
        <f>H2:H9^3</f>
        <v>157464</v>
      </c>
      <c r="M2" s="9">
        <f>(3*0.000000064564*(J2:J9^2)*(H2:H9^2))/(2*25.07)</f>
        <v>4.2813529833317103</v>
      </c>
      <c r="N2" s="9">
        <f>M2:M9*1000</f>
        <v>4281.3529833317107</v>
      </c>
      <c r="O2">
        <f>AVERAGE(N3:N9)</f>
        <v>3919.8966404658395</v>
      </c>
    </row>
    <row r="3" spans="1:15" x14ac:dyDescent="0.3">
      <c r="G3" s="1">
        <v>1</v>
      </c>
      <c r="H3" s="1">
        <v>55</v>
      </c>
      <c r="I3" s="1">
        <v>22.31</v>
      </c>
      <c r="J3" s="1">
        <v>549.9</v>
      </c>
      <c r="K3">
        <f t="shared" ref="K3:K9" si="0">I3:I10/J3:J10</f>
        <v>4.0571012911438442E-2</v>
      </c>
      <c r="L3">
        <f t="shared" ref="L3:L9" si="1">H3:H10^3</f>
        <v>166375</v>
      </c>
      <c r="M3">
        <f t="shared" ref="M3:M9" si="2">(3*0.000000064564*(J3:J10^2)*(H3:H10^2))/(2*25.07)</f>
        <v>3.5336226684519936</v>
      </c>
      <c r="N3">
        <f t="shared" ref="N3:N9" si="3">M3:M10*1000</f>
        <v>3533.6226684519934</v>
      </c>
    </row>
    <row r="4" spans="1:15" x14ac:dyDescent="0.3">
      <c r="G4" s="1">
        <v>2</v>
      </c>
      <c r="H4" s="1">
        <v>60</v>
      </c>
      <c r="I4" s="1">
        <v>22.68</v>
      </c>
      <c r="J4" s="1">
        <v>535.20000000000005</v>
      </c>
      <c r="K4">
        <f t="shared" si="0"/>
        <v>4.2376681614349772E-2</v>
      </c>
      <c r="L4">
        <f t="shared" si="1"/>
        <v>216000</v>
      </c>
      <c r="M4">
        <f t="shared" si="2"/>
        <v>3.9834747093826888</v>
      </c>
      <c r="N4">
        <f t="shared" si="3"/>
        <v>3983.4747093826886</v>
      </c>
    </row>
    <row r="5" spans="1:15" x14ac:dyDescent="0.3">
      <c r="G5" s="1">
        <v>3</v>
      </c>
      <c r="H5" s="1">
        <v>73</v>
      </c>
      <c r="I5" s="1">
        <v>22.88</v>
      </c>
      <c r="J5" s="1">
        <v>500.2</v>
      </c>
      <c r="K5">
        <f t="shared" si="0"/>
        <v>4.5741703318672527E-2</v>
      </c>
      <c r="L5">
        <f t="shared" si="1"/>
        <v>389017</v>
      </c>
      <c r="M5">
        <f t="shared" si="2"/>
        <v>5.1506311372354743</v>
      </c>
      <c r="N5">
        <f t="shared" si="3"/>
        <v>5150.6311372354739</v>
      </c>
    </row>
    <row r="6" spans="1:15" x14ac:dyDescent="0.3">
      <c r="G6" s="1">
        <v>4</v>
      </c>
      <c r="H6" s="1">
        <v>82</v>
      </c>
      <c r="I6" s="1">
        <v>24.03</v>
      </c>
      <c r="J6" s="1">
        <v>381.2</v>
      </c>
      <c r="K6">
        <f t="shared" si="0"/>
        <v>6.3037775445960134E-2</v>
      </c>
      <c r="L6">
        <f t="shared" si="1"/>
        <v>551368</v>
      </c>
      <c r="M6">
        <f t="shared" si="2"/>
        <v>3.7745122799542781</v>
      </c>
      <c r="N6">
        <f t="shared" si="3"/>
        <v>3774.5122799542783</v>
      </c>
    </row>
    <row r="7" spans="1:15" x14ac:dyDescent="0.3">
      <c r="G7" s="1">
        <v>5</v>
      </c>
      <c r="H7" s="1">
        <v>87</v>
      </c>
      <c r="I7" s="1">
        <v>24.48</v>
      </c>
      <c r="J7" s="1">
        <v>363.5</v>
      </c>
      <c r="K7">
        <f t="shared" si="0"/>
        <v>6.7345254470426413E-2</v>
      </c>
      <c r="L7">
        <f t="shared" si="1"/>
        <v>658503</v>
      </c>
      <c r="M7">
        <f t="shared" si="2"/>
        <v>3.8634446046354798</v>
      </c>
      <c r="N7">
        <f t="shared" si="3"/>
        <v>3863.4446046354797</v>
      </c>
    </row>
    <row r="8" spans="1:15" x14ac:dyDescent="0.3">
      <c r="G8" s="1">
        <v>6</v>
      </c>
      <c r="H8" s="1">
        <v>90</v>
      </c>
      <c r="I8" s="1">
        <v>25.51</v>
      </c>
      <c r="J8" s="1">
        <v>339.2</v>
      </c>
      <c r="K8">
        <f t="shared" si="0"/>
        <v>7.5206367924528311E-2</v>
      </c>
      <c r="L8">
        <f t="shared" si="1"/>
        <v>729000</v>
      </c>
      <c r="M8">
        <f t="shared" si="2"/>
        <v>3.6001787154074187</v>
      </c>
      <c r="N8">
        <f t="shared" si="3"/>
        <v>3600.1787154074186</v>
      </c>
    </row>
    <row r="9" spans="1:15" x14ac:dyDescent="0.3">
      <c r="G9" s="1">
        <v>7</v>
      </c>
      <c r="H9" s="1">
        <v>93</v>
      </c>
      <c r="I9" s="1">
        <v>26.42</v>
      </c>
      <c r="J9" s="1">
        <v>325.2</v>
      </c>
      <c r="K9">
        <f t="shared" si="0"/>
        <v>8.1242312423124241E-2</v>
      </c>
      <c r="L9">
        <f t="shared" si="1"/>
        <v>804357</v>
      </c>
      <c r="M9">
        <f t="shared" si="2"/>
        <v>3.5334123681935443</v>
      </c>
      <c r="N9">
        <f t="shared" si="3"/>
        <v>3533.4123681935444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C353-AD21-4AAA-990A-0938B4F6A0E2}">
  <dimension ref="A1:O9"/>
  <sheetViews>
    <sheetView topLeftCell="C1"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75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74</v>
      </c>
      <c r="B2" s="6">
        <v>3.8733</v>
      </c>
      <c r="C2" s="6">
        <v>25.063300000000002</v>
      </c>
      <c r="D2" s="6">
        <v>54</v>
      </c>
      <c r="E2" s="7">
        <v>6.0208200000000003E-8</v>
      </c>
      <c r="F2" s="6">
        <v>3.184E-2</v>
      </c>
      <c r="G2" s="8" t="s">
        <v>9</v>
      </c>
      <c r="H2" s="8">
        <v>54</v>
      </c>
      <c r="I2" s="8">
        <v>13.13</v>
      </c>
      <c r="J2" s="8">
        <v>629.29999999999995</v>
      </c>
      <c r="K2" s="9">
        <f>I2:I9/J2:J9</f>
        <v>2.0864452566343557E-2</v>
      </c>
      <c r="L2" s="9">
        <f>H2:H9^3</f>
        <v>157464</v>
      </c>
      <c r="M2" s="9">
        <f>(3*0.0000000602082*(J2:J9^2)*(H2:H9^2))/(2*25.0633)</f>
        <v>4.1611333466314928</v>
      </c>
      <c r="N2" s="9">
        <f>M2:M9*1000</f>
        <v>4161.1333466314927</v>
      </c>
      <c r="O2">
        <f>AVERAGE(N3:N9)</f>
        <v>3715.1325788843874</v>
      </c>
    </row>
    <row r="3" spans="1:15" x14ac:dyDescent="0.3">
      <c r="G3" s="1">
        <v>1</v>
      </c>
      <c r="H3" s="1">
        <v>58</v>
      </c>
      <c r="I3" s="1">
        <v>23.71</v>
      </c>
      <c r="J3" s="1">
        <v>554.4</v>
      </c>
      <c r="K3">
        <f t="shared" ref="K3:K9" si="0">I3:I10/J3:J10</f>
        <v>4.2766955266955273E-2</v>
      </c>
      <c r="L3">
        <f t="shared" ref="L3:L9" si="1">H3:H10^3</f>
        <v>195112</v>
      </c>
      <c r="M3">
        <f t="shared" ref="M3:M9" si="2">(3*0.0000000602082*(J3:J10^2)*(H3:H10^2))/(2*25.0633)</f>
        <v>3.7257274408965531</v>
      </c>
      <c r="N3">
        <f t="shared" ref="N3:N9" si="3">M3:M10*1000</f>
        <v>3725.7274408965532</v>
      </c>
    </row>
    <row r="4" spans="1:15" x14ac:dyDescent="0.3">
      <c r="G4" s="1">
        <v>2</v>
      </c>
      <c r="H4" s="1">
        <v>67</v>
      </c>
      <c r="I4" s="1">
        <v>24.24</v>
      </c>
      <c r="J4" s="1">
        <v>476.6</v>
      </c>
      <c r="K4">
        <f t="shared" si="0"/>
        <v>5.0860260176248423E-2</v>
      </c>
      <c r="L4">
        <f t="shared" si="1"/>
        <v>300763</v>
      </c>
      <c r="M4">
        <f t="shared" si="2"/>
        <v>3.6742299385568997</v>
      </c>
      <c r="N4">
        <f t="shared" si="3"/>
        <v>3674.2299385568999</v>
      </c>
    </row>
    <row r="5" spans="1:15" x14ac:dyDescent="0.3">
      <c r="G5" s="1">
        <v>3</v>
      </c>
      <c r="H5" s="1">
        <v>73</v>
      </c>
      <c r="I5" s="1">
        <v>24.46</v>
      </c>
      <c r="J5" s="1">
        <v>445</v>
      </c>
      <c r="K5">
        <f t="shared" si="0"/>
        <v>5.4966292134831465E-2</v>
      </c>
      <c r="L5">
        <f t="shared" si="1"/>
        <v>389017</v>
      </c>
      <c r="M5">
        <f t="shared" si="2"/>
        <v>3.8025452635035086</v>
      </c>
      <c r="N5">
        <f t="shared" si="3"/>
        <v>3802.5452635035085</v>
      </c>
    </row>
    <row r="6" spans="1:15" x14ac:dyDescent="0.3">
      <c r="G6" s="1">
        <v>4</v>
      </c>
      <c r="H6" s="1">
        <v>78</v>
      </c>
      <c r="I6" s="1">
        <v>24.79</v>
      </c>
      <c r="J6" s="1">
        <v>410.8</v>
      </c>
      <c r="K6">
        <f t="shared" si="0"/>
        <v>6.0345666991236606E-2</v>
      </c>
      <c r="L6">
        <f t="shared" si="1"/>
        <v>474552</v>
      </c>
      <c r="M6">
        <f t="shared" si="2"/>
        <v>3.6996336881863301</v>
      </c>
      <c r="N6">
        <f t="shared" si="3"/>
        <v>3699.6336881863299</v>
      </c>
    </row>
    <row r="7" spans="1:15" x14ac:dyDescent="0.3">
      <c r="G7" s="1">
        <v>5</v>
      </c>
      <c r="H7" s="1">
        <v>81</v>
      </c>
      <c r="I7" s="1">
        <v>25.33</v>
      </c>
      <c r="J7" s="1">
        <v>396.2</v>
      </c>
      <c r="K7">
        <f t="shared" si="0"/>
        <v>6.3932357395254921E-2</v>
      </c>
      <c r="L7">
        <f t="shared" si="1"/>
        <v>531441</v>
      </c>
      <c r="M7">
        <f t="shared" si="2"/>
        <v>3.7111424972071645</v>
      </c>
      <c r="N7">
        <f t="shared" si="3"/>
        <v>3711.1424972071645</v>
      </c>
    </row>
    <row r="8" spans="1:15" x14ac:dyDescent="0.3">
      <c r="G8" s="1">
        <v>6</v>
      </c>
      <c r="H8" s="1">
        <v>85</v>
      </c>
      <c r="I8" s="1">
        <v>26.2</v>
      </c>
      <c r="J8" s="1">
        <v>374.1</v>
      </c>
      <c r="K8">
        <f t="shared" si="0"/>
        <v>7.0034750066827051E-2</v>
      </c>
      <c r="L8">
        <f t="shared" si="1"/>
        <v>614125</v>
      </c>
      <c r="M8">
        <f t="shared" si="2"/>
        <v>3.6435263776830138</v>
      </c>
      <c r="N8">
        <f t="shared" si="3"/>
        <v>3643.5263776830138</v>
      </c>
    </row>
    <row r="9" spans="1:15" x14ac:dyDescent="0.3">
      <c r="G9" s="1">
        <v>7</v>
      </c>
      <c r="H9" s="1">
        <v>90</v>
      </c>
      <c r="I9" s="1">
        <v>26.76</v>
      </c>
      <c r="J9" s="1">
        <v>358.4</v>
      </c>
      <c r="K9">
        <f t="shared" si="0"/>
        <v>7.4665178571428584E-2</v>
      </c>
      <c r="L9">
        <f t="shared" si="1"/>
        <v>729000</v>
      </c>
      <c r="M9">
        <f t="shared" si="2"/>
        <v>3.749122846157241</v>
      </c>
      <c r="N9">
        <f t="shared" si="3"/>
        <v>3749.1228461572409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D7CF-A628-4A27-9438-9FB5A51167E9}">
  <dimension ref="A1:O9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11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10</v>
      </c>
      <c r="B2" s="6">
        <v>3.93</v>
      </c>
      <c r="C2" s="6">
        <v>25.196999999999999</v>
      </c>
      <c r="D2" s="6">
        <v>54</v>
      </c>
      <c r="E2" s="7">
        <v>8.0506499999999994E-8</v>
      </c>
      <c r="F2" s="6">
        <v>3.3099999999999997E-2</v>
      </c>
      <c r="G2" s="8" t="s">
        <v>9</v>
      </c>
      <c r="H2" s="8">
        <v>54</v>
      </c>
      <c r="I2" s="8">
        <v>14.12</v>
      </c>
      <c r="J2" s="8">
        <v>577.20000000000005</v>
      </c>
      <c r="K2" s="9">
        <f>I2:I9/J2:J9</f>
        <v>2.446292446292446E-2</v>
      </c>
      <c r="L2" s="9">
        <f>H2:H9^3</f>
        <v>157464</v>
      </c>
      <c r="M2" s="9">
        <f>(3*0.0000000805065*(J2:J9^2)*(H2:H9^2))/(2*25.197)</f>
        <v>4.6560060265226442</v>
      </c>
      <c r="N2" s="9">
        <f>M2:M9*1000</f>
        <v>4656.0060265226439</v>
      </c>
      <c r="O2">
        <f>AVERAGE(N3:N9)</f>
        <v>3929.9913242166867</v>
      </c>
    </row>
    <row r="3" spans="1:15" x14ac:dyDescent="0.3">
      <c r="G3" s="1">
        <v>1</v>
      </c>
      <c r="H3" s="1">
        <v>57</v>
      </c>
      <c r="I3" s="1">
        <v>23.03</v>
      </c>
      <c r="J3" s="1">
        <v>496.2</v>
      </c>
      <c r="K3">
        <f t="shared" ref="K3:K9" si="0">I3:I10/J3:J10</f>
        <v>4.6412736799677549E-2</v>
      </c>
      <c r="L3">
        <f t="shared" ref="L3:L9" si="1">H3:H10^3</f>
        <v>185193</v>
      </c>
      <c r="M3">
        <f t="shared" ref="M3:M9" si="2">(3*0.0000000805065*(J3:J10^2)*(H3:H10^2))/(2*25.197)</f>
        <v>3.8338630957394417</v>
      </c>
      <c r="N3">
        <f t="shared" ref="N3:N9" si="3">M3:M10*1000</f>
        <v>3833.8630957394416</v>
      </c>
    </row>
    <row r="4" spans="1:15" x14ac:dyDescent="0.3">
      <c r="G4" s="1">
        <v>2</v>
      </c>
      <c r="H4" s="1">
        <v>62</v>
      </c>
      <c r="I4" s="1">
        <v>23.87</v>
      </c>
      <c r="J4" s="1">
        <v>464.6</v>
      </c>
      <c r="K4">
        <f t="shared" si="0"/>
        <v>5.1377529057253554E-2</v>
      </c>
      <c r="L4">
        <f t="shared" si="1"/>
        <v>238328</v>
      </c>
      <c r="M4">
        <f t="shared" si="2"/>
        <v>3.9766297680542784</v>
      </c>
      <c r="N4">
        <f t="shared" si="3"/>
        <v>3976.6297680542784</v>
      </c>
    </row>
    <row r="5" spans="1:15" x14ac:dyDescent="0.3">
      <c r="G5" s="1">
        <v>3</v>
      </c>
      <c r="H5" s="1">
        <v>66</v>
      </c>
      <c r="I5" s="1">
        <v>24.39</v>
      </c>
      <c r="J5" s="1">
        <v>417.7</v>
      </c>
      <c r="K5">
        <f t="shared" si="0"/>
        <v>5.8391189849174054E-2</v>
      </c>
      <c r="L5">
        <f t="shared" si="1"/>
        <v>287496</v>
      </c>
      <c r="M5">
        <f t="shared" si="2"/>
        <v>3.6424214169277924</v>
      </c>
      <c r="N5">
        <f t="shared" si="3"/>
        <v>3642.4214169277925</v>
      </c>
    </row>
    <row r="6" spans="1:15" x14ac:dyDescent="0.3">
      <c r="G6" s="1">
        <v>4</v>
      </c>
      <c r="H6" s="1">
        <v>73</v>
      </c>
      <c r="I6" s="1">
        <v>25.72</v>
      </c>
      <c r="J6" s="1">
        <v>385.4</v>
      </c>
      <c r="K6">
        <f t="shared" si="0"/>
        <v>6.6735858847950177E-2</v>
      </c>
      <c r="L6">
        <f t="shared" si="1"/>
        <v>389017</v>
      </c>
      <c r="M6">
        <f t="shared" si="2"/>
        <v>3.7935211538208509</v>
      </c>
      <c r="N6">
        <f t="shared" si="3"/>
        <v>3793.5211538208509</v>
      </c>
    </row>
    <row r="7" spans="1:15" x14ac:dyDescent="0.3">
      <c r="G7" s="1">
        <v>5</v>
      </c>
      <c r="H7" s="1">
        <v>83</v>
      </c>
      <c r="I7" s="1">
        <v>26.93</v>
      </c>
      <c r="J7" s="1">
        <v>351.8</v>
      </c>
      <c r="K7">
        <f t="shared" si="0"/>
        <v>7.6549175667993172E-2</v>
      </c>
      <c r="L7">
        <f t="shared" si="1"/>
        <v>571787</v>
      </c>
      <c r="M7">
        <f t="shared" si="2"/>
        <v>4.0862150994893645</v>
      </c>
      <c r="N7">
        <f t="shared" si="3"/>
        <v>4086.2150994893645</v>
      </c>
    </row>
    <row r="8" spans="1:15" x14ac:dyDescent="0.3">
      <c r="G8" s="1">
        <v>6</v>
      </c>
      <c r="H8" s="1">
        <v>88</v>
      </c>
      <c r="I8" s="1">
        <v>28.84</v>
      </c>
      <c r="J8" s="1">
        <v>326.89999999999998</v>
      </c>
      <c r="K8">
        <f t="shared" si="0"/>
        <v>8.8222698072805139E-2</v>
      </c>
      <c r="L8">
        <f t="shared" si="1"/>
        <v>681472</v>
      </c>
      <c r="M8">
        <f t="shared" si="2"/>
        <v>3.9661446988803992</v>
      </c>
      <c r="N8">
        <f t="shared" si="3"/>
        <v>3966.1446988803991</v>
      </c>
    </row>
    <row r="9" spans="1:15" x14ac:dyDescent="0.3">
      <c r="G9" s="1">
        <v>7</v>
      </c>
      <c r="H9" s="1">
        <v>92</v>
      </c>
      <c r="I9" s="1">
        <v>30.99</v>
      </c>
      <c r="J9" s="1">
        <v>322.2</v>
      </c>
      <c r="K9">
        <f t="shared" si="0"/>
        <v>9.6182495344506513E-2</v>
      </c>
      <c r="L9">
        <f t="shared" si="1"/>
        <v>778688</v>
      </c>
      <c r="M9">
        <f t="shared" si="2"/>
        <v>4.2111440366046811</v>
      </c>
      <c r="N9">
        <f t="shared" si="3"/>
        <v>4211.1440366046809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A0AD-7E80-47F3-B4E5-61E47CB3166A}">
  <dimension ref="A1:O9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13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12</v>
      </c>
      <c r="B2" s="6">
        <v>3.84</v>
      </c>
      <c r="C2" s="6">
        <v>25.09</v>
      </c>
      <c r="D2" s="6">
        <v>47</v>
      </c>
      <c r="E2" s="7">
        <v>7.2926500000000001E-8</v>
      </c>
      <c r="F2" s="6">
        <v>3.3450000000000001E-2</v>
      </c>
      <c r="G2" s="8" t="s">
        <v>9</v>
      </c>
      <c r="H2" s="8">
        <v>47</v>
      </c>
      <c r="I2" s="8">
        <v>11.82</v>
      </c>
      <c r="J2" s="8">
        <v>575.9</v>
      </c>
      <c r="K2" s="9">
        <f>I2:I9/J2:J9</f>
        <v>2.0524396596631359E-2</v>
      </c>
      <c r="L2" s="9">
        <f>H2:H9^3</f>
        <v>103823</v>
      </c>
      <c r="M2" s="9">
        <f>(3*0.0000000729265*(J2:J9^2)*(H2:H9^2))/(2*25.09)</f>
        <v>3.1942274785711744</v>
      </c>
      <c r="N2" s="9">
        <f>M2:M9*1000</f>
        <v>3194.2274785711743</v>
      </c>
      <c r="O2">
        <f>AVERAGE(N3:N9)</f>
        <v>2917.217045453031</v>
      </c>
    </row>
    <row r="3" spans="1:15" x14ac:dyDescent="0.3">
      <c r="G3" s="1">
        <v>1</v>
      </c>
      <c r="H3" s="1">
        <v>50</v>
      </c>
      <c r="I3" s="1">
        <v>20.13</v>
      </c>
      <c r="J3" s="1">
        <v>493.9</v>
      </c>
      <c r="K3">
        <f t="shared" ref="K3:K9" si="0">I3:I10/J3:J10</f>
        <v>4.0757238307349668E-2</v>
      </c>
      <c r="L3">
        <f t="shared" ref="L3:L9" si="1">H3:H10^3</f>
        <v>125000</v>
      </c>
      <c r="M3">
        <f t="shared" ref="M3:M9" si="2">(3*0.0000000729265*(J3:J10^2)*(H3:H10^2))/(2*25.09)</f>
        <v>2.6588511775206753</v>
      </c>
      <c r="N3">
        <f t="shared" ref="N3:N9" si="3">M3:M10*1000</f>
        <v>2658.8511775206753</v>
      </c>
    </row>
    <row r="4" spans="1:15" x14ac:dyDescent="0.3">
      <c r="G4" s="1">
        <v>2</v>
      </c>
      <c r="H4" s="1">
        <v>55</v>
      </c>
      <c r="I4" s="1">
        <v>20.73</v>
      </c>
      <c r="J4" s="1">
        <v>457.3</v>
      </c>
      <c r="K4">
        <f t="shared" si="0"/>
        <v>4.5331292368248413E-2</v>
      </c>
      <c r="L4">
        <f t="shared" si="1"/>
        <v>166375</v>
      </c>
      <c r="M4">
        <f t="shared" si="2"/>
        <v>2.7580602569605195</v>
      </c>
      <c r="N4">
        <f t="shared" si="3"/>
        <v>2758.0602569605194</v>
      </c>
    </row>
    <row r="5" spans="1:15" x14ac:dyDescent="0.3">
      <c r="G5" s="1">
        <v>3</v>
      </c>
      <c r="H5" s="1">
        <v>62</v>
      </c>
      <c r="I5" s="1">
        <v>21.34</v>
      </c>
      <c r="J5" s="1">
        <v>413.4</v>
      </c>
      <c r="K5">
        <f t="shared" si="0"/>
        <v>5.1620706337687471E-2</v>
      </c>
      <c r="L5">
        <f t="shared" si="1"/>
        <v>238328</v>
      </c>
      <c r="M5">
        <f t="shared" si="2"/>
        <v>2.8641798960403517</v>
      </c>
      <c r="N5">
        <f t="shared" si="3"/>
        <v>2864.1798960403517</v>
      </c>
    </row>
    <row r="6" spans="1:15" x14ac:dyDescent="0.3">
      <c r="G6" s="1">
        <v>4</v>
      </c>
      <c r="H6" s="1">
        <v>68</v>
      </c>
      <c r="I6" s="1">
        <v>22.2</v>
      </c>
      <c r="J6" s="1">
        <v>379.3</v>
      </c>
      <c r="K6">
        <f t="shared" si="0"/>
        <v>5.85288689691537E-2</v>
      </c>
      <c r="L6">
        <f t="shared" si="1"/>
        <v>314432</v>
      </c>
      <c r="M6">
        <f t="shared" si="2"/>
        <v>2.9004105709044228</v>
      </c>
      <c r="N6">
        <f t="shared" si="3"/>
        <v>2900.4105709044229</v>
      </c>
    </row>
    <row r="7" spans="1:15" x14ac:dyDescent="0.3">
      <c r="G7" s="1">
        <v>5</v>
      </c>
      <c r="H7" s="1">
        <v>77</v>
      </c>
      <c r="I7" s="1">
        <v>22.89</v>
      </c>
      <c r="J7" s="1">
        <v>342.2</v>
      </c>
      <c r="K7">
        <f t="shared" si="0"/>
        <v>6.68907071887785E-2</v>
      </c>
      <c r="L7">
        <f t="shared" si="1"/>
        <v>456533</v>
      </c>
      <c r="M7">
        <f t="shared" si="2"/>
        <v>3.0270349075273137</v>
      </c>
      <c r="N7">
        <f t="shared" si="3"/>
        <v>3027.0349075273139</v>
      </c>
    </row>
    <row r="8" spans="1:15" x14ac:dyDescent="0.3">
      <c r="G8" s="1">
        <v>6</v>
      </c>
      <c r="H8" s="1">
        <v>85</v>
      </c>
      <c r="I8" s="1">
        <v>24.4</v>
      </c>
      <c r="J8" s="1">
        <v>315</v>
      </c>
      <c r="K8">
        <f t="shared" si="0"/>
        <v>7.7460317460317452E-2</v>
      </c>
      <c r="L8">
        <f t="shared" si="1"/>
        <v>614125</v>
      </c>
      <c r="M8">
        <f t="shared" si="2"/>
        <v>3.1256110061217117</v>
      </c>
      <c r="N8">
        <f t="shared" si="3"/>
        <v>3125.6110061217119</v>
      </c>
    </row>
    <row r="9" spans="1:15" x14ac:dyDescent="0.3">
      <c r="G9" s="1">
        <v>7</v>
      </c>
      <c r="H9" s="1">
        <v>92</v>
      </c>
      <c r="I9" s="1">
        <v>26.03</v>
      </c>
      <c r="J9" s="1">
        <v>289.2</v>
      </c>
      <c r="K9">
        <f t="shared" si="0"/>
        <v>9.0006915629322282E-2</v>
      </c>
      <c r="L9">
        <f t="shared" si="1"/>
        <v>778688</v>
      </c>
      <c r="M9">
        <f t="shared" si="2"/>
        <v>3.0863715030962204</v>
      </c>
      <c r="N9">
        <f t="shared" si="3"/>
        <v>3086.3715030962203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F481-CCD8-45C7-8419-32448FD96D80}">
  <dimension ref="A1:O23"/>
  <sheetViews>
    <sheetView workbookViewId="0">
      <selection activeCell="A2" sqref="A2:N2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17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14</v>
      </c>
      <c r="B2" s="6">
        <v>3.89</v>
      </c>
      <c r="C2" s="6">
        <v>25.163</v>
      </c>
      <c r="D2" s="6">
        <v>43</v>
      </c>
      <c r="E2" s="10">
        <v>7.3710599999999996E-8</v>
      </c>
      <c r="F2" s="6">
        <v>3.3149999999999999E-2</v>
      </c>
      <c r="G2" s="8" t="s">
        <v>9</v>
      </c>
      <c r="H2" s="6">
        <v>43</v>
      </c>
      <c r="I2" s="6">
        <v>13.05</v>
      </c>
      <c r="J2" s="6">
        <v>668.3</v>
      </c>
      <c r="K2" s="9">
        <f>I2:I9/J2:J9</f>
        <v>1.9527158461768668E-2</v>
      </c>
      <c r="L2" s="9">
        <f>H2:H9^3</f>
        <v>79507</v>
      </c>
      <c r="M2" s="9">
        <f>(3*0.0000000737106*(J2:J9^2)*(H2:H9^2))/(2*25.163)</f>
        <v>3.6285960310292529</v>
      </c>
      <c r="N2" s="9">
        <f>M2:M9*1000</f>
        <v>3628.596031029253</v>
      </c>
      <c r="O2">
        <f>AVERAGE(N3:N9)</f>
        <v>3827.1964223760506</v>
      </c>
    </row>
    <row r="3" spans="1:15" x14ac:dyDescent="0.3">
      <c r="A3" s="1"/>
      <c r="B3" s="1"/>
      <c r="C3" s="1"/>
      <c r="D3" s="1"/>
      <c r="E3" s="1"/>
      <c r="F3" s="1"/>
      <c r="G3" s="1">
        <v>1</v>
      </c>
      <c r="H3" s="1">
        <v>49</v>
      </c>
      <c r="I3" s="1">
        <v>24.32</v>
      </c>
      <c r="J3" s="1">
        <v>587.1</v>
      </c>
      <c r="K3">
        <f t="shared" ref="K3:K9" si="0">I3:I10/J3:J10</f>
        <v>4.1423948220064725E-2</v>
      </c>
      <c r="L3">
        <f t="shared" ref="L3:L9" si="1">H3:H10^3</f>
        <v>117649</v>
      </c>
      <c r="M3">
        <f t="shared" ref="M3:M9" si="2">(3*0.0000000737106*(J3:J10^2)*(H3:H10^2))/(2*25.163)</f>
        <v>3.6364289670446697</v>
      </c>
      <c r="N3">
        <f t="shared" ref="N3:N9" si="3">M3:M10*1000</f>
        <v>3636.4289670446697</v>
      </c>
    </row>
    <row r="4" spans="1:15" x14ac:dyDescent="0.3">
      <c r="A4" s="1"/>
      <c r="B4" s="1"/>
      <c r="C4" s="1"/>
      <c r="D4" s="1"/>
      <c r="E4" s="1"/>
      <c r="F4" s="1"/>
      <c r="G4" s="1">
        <v>2</v>
      </c>
      <c r="H4" s="1">
        <v>53</v>
      </c>
      <c r="I4" s="1">
        <v>24.41</v>
      </c>
      <c r="J4" s="1">
        <v>534.6</v>
      </c>
      <c r="K4">
        <f t="shared" si="0"/>
        <v>4.5660306771417879E-2</v>
      </c>
      <c r="L4">
        <f t="shared" si="1"/>
        <v>148877</v>
      </c>
      <c r="M4">
        <f t="shared" si="2"/>
        <v>3.5275114802638319</v>
      </c>
      <c r="N4">
        <f t="shared" si="3"/>
        <v>3527.5114802638318</v>
      </c>
    </row>
    <row r="5" spans="1:15" x14ac:dyDescent="0.3">
      <c r="A5" s="1"/>
      <c r="B5" s="1"/>
      <c r="C5" s="1"/>
      <c r="D5" s="1"/>
      <c r="E5" s="1"/>
      <c r="F5" s="1"/>
      <c r="G5" s="1">
        <v>3</v>
      </c>
      <c r="H5" s="1">
        <v>66</v>
      </c>
      <c r="I5" s="1">
        <v>24.48</v>
      </c>
      <c r="J5" s="1">
        <v>473.7</v>
      </c>
      <c r="K5">
        <f t="shared" si="0"/>
        <v>5.1678277390753646E-2</v>
      </c>
      <c r="L5">
        <f t="shared" si="1"/>
        <v>287496</v>
      </c>
      <c r="M5">
        <f t="shared" si="2"/>
        <v>4.2949036779997645</v>
      </c>
      <c r="N5">
        <f t="shared" si="3"/>
        <v>4294.9036779997641</v>
      </c>
    </row>
    <row r="6" spans="1:15" x14ac:dyDescent="0.3">
      <c r="A6" s="1"/>
      <c r="B6" s="1"/>
      <c r="C6" s="1"/>
      <c r="D6" s="1"/>
      <c r="E6" s="1"/>
      <c r="F6" s="1"/>
      <c r="G6" s="1">
        <v>4</v>
      </c>
      <c r="H6" s="1">
        <v>72</v>
      </c>
      <c r="I6" s="1">
        <v>24.71</v>
      </c>
      <c r="J6" s="1">
        <v>419.5</v>
      </c>
      <c r="K6">
        <f t="shared" si="0"/>
        <v>5.8903456495828371E-2</v>
      </c>
      <c r="L6">
        <f t="shared" si="1"/>
        <v>373248</v>
      </c>
      <c r="M6">
        <f t="shared" si="2"/>
        <v>4.008553746631736</v>
      </c>
      <c r="N6">
        <f t="shared" si="3"/>
        <v>4008.553746631736</v>
      </c>
    </row>
    <row r="7" spans="1:15" x14ac:dyDescent="0.3">
      <c r="A7" s="1"/>
      <c r="B7" s="1"/>
      <c r="C7" s="1"/>
      <c r="D7" s="1"/>
      <c r="E7" s="1"/>
      <c r="F7" s="1"/>
      <c r="G7" s="1">
        <v>5</v>
      </c>
      <c r="H7" s="1">
        <v>75</v>
      </c>
      <c r="I7" s="1">
        <v>25.45</v>
      </c>
      <c r="J7" s="1">
        <v>382.6</v>
      </c>
      <c r="K7">
        <f t="shared" si="0"/>
        <v>6.651855723993727E-2</v>
      </c>
      <c r="L7">
        <f t="shared" si="1"/>
        <v>421875</v>
      </c>
      <c r="M7">
        <f t="shared" si="2"/>
        <v>3.6180223551185269</v>
      </c>
      <c r="N7">
        <f t="shared" si="3"/>
        <v>3618.0223551185268</v>
      </c>
    </row>
    <row r="8" spans="1:15" x14ac:dyDescent="0.3">
      <c r="A8" s="1"/>
      <c r="B8" s="1"/>
      <c r="C8" s="1"/>
      <c r="D8" s="1"/>
      <c r="E8" s="1"/>
      <c r="F8" s="1"/>
      <c r="G8" s="1">
        <v>6</v>
      </c>
      <c r="H8" s="1">
        <v>82</v>
      </c>
      <c r="I8" s="1">
        <v>26.99</v>
      </c>
      <c r="J8" s="1">
        <v>354.3</v>
      </c>
      <c r="K8">
        <f t="shared" si="0"/>
        <v>7.6178379904036114E-2</v>
      </c>
      <c r="L8">
        <f t="shared" si="1"/>
        <v>551368</v>
      </c>
      <c r="M8">
        <f t="shared" si="2"/>
        <v>3.708760571355938</v>
      </c>
      <c r="N8">
        <f t="shared" si="3"/>
        <v>3708.7605713559378</v>
      </c>
    </row>
    <row r="9" spans="1:15" x14ac:dyDescent="0.3">
      <c r="A9" s="1"/>
      <c r="B9" s="1"/>
      <c r="C9" s="1"/>
      <c r="D9" s="1"/>
      <c r="E9" s="1"/>
      <c r="F9" s="1"/>
      <c r="G9" s="1">
        <v>7</v>
      </c>
      <c r="H9" s="1">
        <v>91</v>
      </c>
      <c r="I9" s="1">
        <v>28.94</v>
      </c>
      <c r="J9" s="1">
        <v>331.4</v>
      </c>
      <c r="K9">
        <f t="shared" si="0"/>
        <v>8.7326493663246837E-2</v>
      </c>
      <c r="L9">
        <f t="shared" si="1"/>
        <v>753571</v>
      </c>
      <c r="M9">
        <f t="shared" si="2"/>
        <v>3.9961941582178859</v>
      </c>
      <c r="N9">
        <f t="shared" si="3"/>
        <v>3996.1941582178861</v>
      </c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D2A5-2A36-4588-A142-81A727A49458}">
  <dimension ref="A1:O11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16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15</v>
      </c>
      <c r="B2" s="6">
        <v>3.89</v>
      </c>
      <c r="C2" s="6">
        <v>25.103000000000002</v>
      </c>
      <c r="D2" s="6">
        <v>54</v>
      </c>
      <c r="E2" s="10">
        <v>6.5910699999999997E-8</v>
      </c>
      <c r="F2" s="6">
        <v>3.7269999999999998E-2</v>
      </c>
      <c r="G2" s="8" t="s">
        <v>9</v>
      </c>
      <c r="H2" s="6">
        <v>54</v>
      </c>
      <c r="I2" s="6">
        <v>13.63</v>
      </c>
      <c r="J2" s="6">
        <v>498.9</v>
      </c>
      <c r="K2" s="9">
        <f>I2:I11/J2:J11</f>
        <v>2.7320104229304473E-2</v>
      </c>
      <c r="L2" s="9">
        <f>H2:H11^3</f>
        <v>157464</v>
      </c>
      <c r="M2" s="9">
        <f>(3*0.0000000659107*(J2:J9^2)*(H2:H9^2))/(2*25.103)</f>
        <v>2.8584860989935934</v>
      </c>
      <c r="N2" s="9">
        <f>M2:M11*1000</f>
        <v>2858.4860989935933</v>
      </c>
      <c r="O2">
        <f>AVERAGE(N3:N11)</f>
        <v>2855.4208057330857</v>
      </c>
    </row>
    <row r="3" spans="1:15" x14ac:dyDescent="0.3">
      <c r="G3" s="1">
        <v>1</v>
      </c>
      <c r="H3" s="1">
        <v>59</v>
      </c>
      <c r="I3" s="1">
        <v>21.9</v>
      </c>
      <c r="J3" s="1">
        <v>425.6</v>
      </c>
      <c r="K3">
        <f t="shared" ref="K3:K11" si="0">I3:I12/J3:J12</f>
        <v>5.1456766917293228E-2</v>
      </c>
      <c r="L3">
        <f t="shared" ref="L3:L11" si="1">H3:H12^3</f>
        <v>205379</v>
      </c>
      <c r="M3">
        <f t="shared" ref="M3:M11" si="2">(3*0.0000000659107*(J3:J10^2)*(H3:H10^2))/(2*25.103)</f>
        <v>2.4832978863576454</v>
      </c>
      <c r="N3">
        <f t="shared" ref="N3:N11" si="3">M3:M12*1000</f>
        <v>2483.2978863576454</v>
      </c>
    </row>
    <row r="4" spans="1:15" x14ac:dyDescent="0.3">
      <c r="G4" s="1">
        <v>2</v>
      </c>
      <c r="H4" s="1">
        <v>68</v>
      </c>
      <c r="I4" s="1">
        <v>23.02</v>
      </c>
      <c r="J4" s="1">
        <v>413.5</v>
      </c>
      <c r="K4">
        <f t="shared" si="0"/>
        <v>5.5671100362756951E-2</v>
      </c>
      <c r="L4">
        <f t="shared" si="1"/>
        <v>314432</v>
      </c>
      <c r="M4">
        <f t="shared" si="2"/>
        <v>3.1137978197538225</v>
      </c>
      <c r="N4">
        <f t="shared" si="3"/>
        <v>3113.7978197538228</v>
      </c>
    </row>
    <row r="5" spans="1:15" x14ac:dyDescent="0.3">
      <c r="G5" s="1">
        <v>3</v>
      </c>
      <c r="H5" s="1">
        <v>71</v>
      </c>
      <c r="I5" s="1">
        <v>23.69</v>
      </c>
      <c r="J5" s="1">
        <v>378.1</v>
      </c>
      <c r="K5">
        <f t="shared" si="0"/>
        <v>6.2655382174028038E-2</v>
      </c>
      <c r="L5">
        <f t="shared" si="1"/>
        <v>357911</v>
      </c>
      <c r="M5">
        <f t="shared" si="2"/>
        <v>2.8382562913262306</v>
      </c>
      <c r="N5">
        <f t="shared" si="3"/>
        <v>2838.2562913262304</v>
      </c>
    </row>
    <row r="6" spans="1:15" x14ac:dyDescent="0.3">
      <c r="G6" s="1">
        <v>4</v>
      </c>
      <c r="H6" s="1">
        <v>80</v>
      </c>
      <c r="I6" s="1">
        <v>24.38</v>
      </c>
      <c r="J6" s="1">
        <v>339.2</v>
      </c>
      <c r="K6">
        <f t="shared" si="0"/>
        <v>7.1874999999999994E-2</v>
      </c>
      <c r="L6">
        <f t="shared" si="1"/>
        <v>512000</v>
      </c>
      <c r="M6">
        <f t="shared" si="2"/>
        <v>2.9001016351695332</v>
      </c>
      <c r="N6">
        <f t="shared" si="3"/>
        <v>2900.1016351695334</v>
      </c>
    </row>
    <row r="7" spans="1:15" x14ac:dyDescent="0.3">
      <c r="G7" s="1">
        <v>5</v>
      </c>
      <c r="H7" s="1">
        <v>85</v>
      </c>
      <c r="I7" s="1">
        <v>24.64</v>
      </c>
      <c r="J7" s="1">
        <v>325.2</v>
      </c>
      <c r="K7">
        <f t="shared" si="0"/>
        <v>7.5768757687576876E-2</v>
      </c>
      <c r="L7">
        <f t="shared" si="1"/>
        <v>614125</v>
      </c>
      <c r="M7">
        <f t="shared" si="2"/>
        <v>3.0092653347421501</v>
      </c>
      <c r="N7">
        <f t="shared" si="3"/>
        <v>3009.2653347421501</v>
      </c>
    </row>
    <row r="8" spans="1:15" x14ac:dyDescent="0.3">
      <c r="G8" s="1">
        <v>6</v>
      </c>
      <c r="H8" s="1">
        <v>88</v>
      </c>
      <c r="I8" s="1">
        <v>25.28</v>
      </c>
      <c r="J8" s="1">
        <v>306.89999999999998</v>
      </c>
      <c r="K8">
        <f t="shared" si="0"/>
        <v>8.2372108178559805E-2</v>
      </c>
      <c r="L8">
        <f t="shared" si="1"/>
        <v>681472</v>
      </c>
      <c r="M8">
        <f t="shared" si="2"/>
        <v>2.8726365253338653</v>
      </c>
      <c r="N8">
        <f t="shared" si="3"/>
        <v>2872.6365253338654</v>
      </c>
    </row>
    <row r="9" spans="1:15" x14ac:dyDescent="0.3">
      <c r="G9" s="1">
        <v>7</v>
      </c>
      <c r="H9" s="1">
        <v>91</v>
      </c>
      <c r="I9" s="1">
        <v>25.71</v>
      </c>
      <c r="J9" s="1">
        <v>293.10000000000002</v>
      </c>
      <c r="K9">
        <f t="shared" si="0"/>
        <v>8.7717502558853633E-2</v>
      </c>
      <c r="L9">
        <f t="shared" si="1"/>
        <v>753571</v>
      </c>
      <c r="M9">
        <f t="shared" si="2"/>
        <v>2.8017925654132574</v>
      </c>
      <c r="N9">
        <f t="shared" si="3"/>
        <v>2801.7925654132573</v>
      </c>
    </row>
    <row r="10" spans="1:15" x14ac:dyDescent="0.3">
      <c r="G10" s="1">
        <v>8</v>
      </c>
      <c r="H10" s="1">
        <v>95</v>
      </c>
      <c r="I10" s="1">
        <v>26.51</v>
      </c>
      <c r="J10" s="1">
        <v>278.89999999999998</v>
      </c>
      <c r="K10">
        <f t="shared" si="0"/>
        <v>9.5051989960559358E-2</v>
      </c>
      <c r="L10">
        <f t="shared" si="1"/>
        <v>857375</v>
      </c>
      <c r="M10">
        <f t="shared" si="2"/>
        <v>2.764813212030933</v>
      </c>
      <c r="N10">
        <f t="shared" si="3"/>
        <v>2764.8132120309328</v>
      </c>
    </row>
    <row r="11" spans="1:15" s="3" customFormat="1" x14ac:dyDescent="0.3">
      <c r="G11" s="4">
        <v>9</v>
      </c>
      <c r="H11" s="4">
        <v>98</v>
      </c>
      <c r="I11" s="4">
        <v>27.63</v>
      </c>
      <c r="J11" s="4">
        <v>277.60000000000002</v>
      </c>
      <c r="K11" s="3">
        <f t="shared" si="0"/>
        <v>9.9531700288184421E-2</v>
      </c>
      <c r="L11" s="3">
        <f t="shared" si="1"/>
        <v>941192</v>
      </c>
      <c r="M11">
        <f t="shared" si="2"/>
        <v>2.9148259814703339</v>
      </c>
      <c r="N11">
        <f t="shared" si="3"/>
        <v>2914.8259814703338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3345-4F67-4DBC-B46F-07BA110C822E}">
  <sheetPr>
    <tabColor theme="4" tint="0.59999389629810485"/>
  </sheetPr>
  <dimension ref="A1:O8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9.25" customWidth="1"/>
    <col min="6" max="6" width="9.6640625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41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40</v>
      </c>
      <c r="B2" s="6">
        <v>3.9</v>
      </c>
      <c r="C2" s="6">
        <v>25.07</v>
      </c>
      <c r="D2" s="6">
        <v>55</v>
      </c>
      <c r="E2" s="10">
        <v>7.3005800000000001E-8</v>
      </c>
      <c r="F2" s="6">
        <v>2.555E-2</v>
      </c>
      <c r="G2" s="8" t="s">
        <v>9</v>
      </c>
      <c r="H2" s="6">
        <v>55</v>
      </c>
      <c r="I2" s="6">
        <v>11.71</v>
      </c>
      <c r="J2" s="6">
        <v>527.79999999999995</v>
      </c>
      <c r="K2" s="9">
        <f>I2:I11/J2:J11</f>
        <v>2.2186434255399776E-2</v>
      </c>
      <c r="L2" s="9">
        <f>H2:H11^3</f>
        <v>166375</v>
      </c>
      <c r="M2" s="9">
        <f>(3*0.0000000730058*(J2:J9^2)*(H2:H9^2))/(2*25.07)</f>
        <v>3.6809374722862662</v>
      </c>
      <c r="N2" s="9">
        <f>M2:M11*1000</f>
        <v>3680.9374722862663</v>
      </c>
      <c r="O2">
        <f>AVERAGE(N3:N8)</f>
        <v>3685.1418455811822</v>
      </c>
    </row>
    <row r="3" spans="1:15" x14ac:dyDescent="0.3">
      <c r="G3" s="1">
        <v>1</v>
      </c>
      <c r="H3" s="1">
        <v>64</v>
      </c>
      <c r="I3" s="1">
        <v>21.34</v>
      </c>
      <c r="J3" s="1">
        <v>461.4</v>
      </c>
      <c r="K3">
        <f t="shared" ref="K3:K8" si="0">I3:I12/J3:J12</f>
        <v>4.6250541829215432E-2</v>
      </c>
      <c r="L3">
        <f t="shared" ref="L3:L8" si="1">H3:H12^3</f>
        <v>262144</v>
      </c>
      <c r="M3">
        <f t="shared" ref="M3:M8" si="2">(3*0.0000000730058*(J3:J10^2)*(H3:H10^2))/(2*25.07)</f>
        <v>3.8089863628170155</v>
      </c>
      <c r="N3">
        <f t="shared" ref="N3:N8" si="3">M3:M12*1000</f>
        <v>3808.9863628170156</v>
      </c>
    </row>
    <row r="4" spans="1:15" x14ac:dyDescent="0.3">
      <c r="G4" s="1">
        <v>2</v>
      </c>
      <c r="H4" s="1">
        <v>72</v>
      </c>
      <c r="I4" s="1">
        <v>22</v>
      </c>
      <c r="J4" s="1">
        <v>423.8</v>
      </c>
      <c r="K4">
        <f t="shared" si="0"/>
        <v>5.1911278905143937E-2</v>
      </c>
      <c r="L4">
        <f t="shared" si="1"/>
        <v>373248</v>
      </c>
      <c r="M4">
        <f t="shared" si="2"/>
        <v>4.067065689958083</v>
      </c>
      <c r="N4">
        <f t="shared" si="3"/>
        <v>4067.0656899580831</v>
      </c>
    </row>
    <row r="5" spans="1:15" x14ac:dyDescent="0.3">
      <c r="G5" s="1">
        <v>3</v>
      </c>
      <c r="H5" s="1">
        <v>78</v>
      </c>
      <c r="I5" s="1">
        <v>22.52</v>
      </c>
      <c r="J5" s="1">
        <v>382.4</v>
      </c>
      <c r="K5">
        <f t="shared" si="0"/>
        <v>5.8891213389121344E-2</v>
      </c>
      <c r="L5">
        <f t="shared" si="1"/>
        <v>474552</v>
      </c>
      <c r="M5">
        <f t="shared" si="2"/>
        <v>3.8861473358859429</v>
      </c>
      <c r="N5">
        <f t="shared" si="3"/>
        <v>3886.147335885943</v>
      </c>
    </row>
    <row r="6" spans="1:15" x14ac:dyDescent="0.3">
      <c r="G6" s="1">
        <v>4</v>
      </c>
      <c r="H6" s="1">
        <v>84</v>
      </c>
      <c r="I6" s="1">
        <v>23.24</v>
      </c>
      <c r="J6" s="1">
        <v>344.09</v>
      </c>
      <c r="K6">
        <f t="shared" si="0"/>
        <v>6.7540469063326461E-2</v>
      </c>
      <c r="L6">
        <f t="shared" si="1"/>
        <v>592704</v>
      </c>
      <c r="M6">
        <f t="shared" si="2"/>
        <v>3.649194100560472</v>
      </c>
      <c r="N6">
        <f t="shared" si="3"/>
        <v>3649.1941005604722</v>
      </c>
    </row>
    <row r="7" spans="1:15" x14ac:dyDescent="0.3">
      <c r="G7" s="1">
        <v>5</v>
      </c>
      <c r="H7" s="1">
        <v>88</v>
      </c>
      <c r="I7" s="1">
        <v>24.33</v>
      </c>
      <c r="J7" s="1">
        <v>315</v>
      </c>
      <c r="K7">
        <f t="shared" si="0"/>
        <v>7.7238095238095231E-2</v>
      </c>
      <c r="L7">
        <f t="shared" si="1"/>
        <v>681472</v>
      </c>
      <c r="M7">
        <f t="shared" si="2"/>
        <v>3.3564543225400878</v>
      </c>
      <c r="N7">
        <f t="shared" si="3"/>
        <v>3356.454322540088</v>
      </c>
    </row>
    <row r="8" spans="1:15" x14ac:dyDescent="0.3">
      <c r="G8" s="1">
        <v>6</v>
      </c>
      <c r="H8" s="1">
        <v>92</v>
      </c>
      <c r="I8" s="1">
        <v>24.77</v>
      </c>
      <c r="J8" s="1">
        <v>300.7</v>
      </c>
      <c r="K8">
        <f t="shared" si="0"/>
        <v>8.2374459594280011E-2</v>
      </c>
      <c r="L8">
        <f t="shared" si="1"/>
        <v>778688</v>
      </c>
      <c r="M8">
        <f t="shared" si="2"/>
        <v>3.3430032617254897</v>
      </c>
      <c r="N8">
        <f t="shared" si="3"/>
        <v>3343.0032617254897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8EDB-2409-40A4-8B03-84FBE2491B1E}">
  <sheetPr>
    <tabColor theme="4" tint="0.59999389629810485"/>
  </sheetPr>
  <dimension ref="A1:O8"/>
  <sheetViews>
    <sheetView workbookViewId="0">
      <selection activeCell="O3" sqref="O3"/>
    </sheetView>
  </sheetViews>
  <sheetFormatPr defaultColWidth="8.58203125"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7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43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42</v>
      </c>
      <c r="B2" s="6">
        <v>3.87</v>
      </c>
      <c r="C2" s="6">
        <v>25.03</v>
      </c>
      <c r="D2" s="6">
        <v>54</v>
      </c>
      <c r="E2" s="10">
        <v>6.8484799999999997E-8</v>
      </c>
      <c r="F2" s="6">
        <v>3.2099999999999997E-2</v>
      </c>
      <c r="G2" s="8" t="s">
        <v>9</v>
      </c>
      <c r="H2" s="6">
        <v>54</v>
      </c>
      <c r="I2" s="6">
        <v>12.31</v>
      </c>
      <c r="J2" s="6">
        <v>535.70000000000005</v>
      </c>
      <c r="K2" s="9">
        <f>I2:I11/J2:J11</f>
        <v>2.2979279447451931E-2</v>
      </c>
      <c r="L2" s="9">
        <f>H2:H11^3</f>
        <v>157464</v>
      </c>
      <c r="M2" s="9">
        <f>(3*0.0000000684848*(J2:J9^2)*(H2:H9^2))/(2*25.03)</f>
        <v>3.4344358880438377</v>
      </c>
      <c r="N2" s="9">
        <f>M2:M11*1000</f>
        <v>3434.4358880438376</v>
      </c>
      <c r="O2">
        <f>AVERAGE(N3:N8)</f>
        <v>2996.3966619643038</v>
      </c>
    </row>
    <row r="3" spans="1:15" x14ac:dyDescent="0.3">
      <c r="G3" s="1">
        <v>1</v>
      </c>
      <c r="H3" s="1">
        <v>57</v>
      </c>
      <c r="I3" s="1">
        <v>20.329999999999998</v>
      </c>
      <c r="J3" s="1">
        <v>447.2</v>
      </c>
      <c r="K3">
        <f t="shared" ref="K3:K8" si="0">I3:I12/J3:J12</f>
        <v>4.5460644007155632E-2</v>
      </c>
      <c r="L3">
        <f>H3:H12^3</f>
        <v>185193</v>
      </c>
      <c r="M3">
        <f t="shared" ref="M3:M8" si="1">(3*0.0000000684848*(J3:J10^2)*(H3:H10^2))/(2*25.03)</f>
        <v>2.6667229736403817</v>
      </c>
      <c r="N3">
        <f t="shared" ref="N3:N8" si="2">M3:M12*1000</f>
        <v>2666.7229736403815</v>
      </c>
    </row>
    <row r="4" spans="1:15" x14ac:dyDescent="0.3">
      <c r="G4" s="1">
        <v>2</v>
      </c>
      <c r="H4" s="1">
        <v>64</v>
      </c>
      <c r="I4" s="1">
        <v>21.06</v>
      </c>
      <c r="J4" s="1">
        <v>414.9</v>
      </c>
      <c r="K4">
        <f t="shared" si="0"/>
        <v>5.0759219088937095E-2</v>
      </c>
      <c r="L4">
        <f t="shared" ref="L4:L8" si="3">H4:H13^3</f>
        <v>262144</v>
      </c>
      <c r="M4">
        <f t="shared" si="1"/>
        <v>2.8938193671952255</v>
      </c>
      <c r="N4">
        <f t="shared" si="2"/>
        <v>2893.8193671952254</v>
      </c>
    </row>
    <row r="5" spans="1:15" x14ac:dyDescent="0.3">
      <c r="G5" s="1">
        <v>3</v>
      </c>
      <c r="H5" s="1">
        <v>74</v>
      </c>
      <c r="I5" s="1">
        <v>21.63</v>
      </c>
      <c r="J5" s="1">
        <v>370.9</v>
      </c>
      <c r="K5">
        <f t="shared" si="0"/>
        <v>5.8317605823672153E-2</v>
      </c>
      <c r="L5">
        <f t="shared" si="3"/>
        <v>405224</v>
      </c>
      <c r="M5">
        <f t="shared" si="1"/>
        <v>3.0917310485966611</v>
      </c>
      <c r="N5">
        <f t="shared" si="2"/>
        <v>3091.7310485966614</v>
      </c>
    </row>
    <row r="6" spans="1:15" x14ac:dyDescent="0.3">
      <c r="G6" s="1">
        <v>4</v>
      </c>
      <c r="H6" s="1">
        <v>81</v>
      </c>
      <c r="I6" s="1">
        <v>22.88</v>
      </c>
      <c r="J6" s="1">
        <v>338.8</v>
      </c>
      <c r="K6">
        <f t="shared" si="0"/>
        <v>6.7532467532467527E-2</v>
      </c>
      <c r="L6">
        <f t="shared" si="3"/>
        <v>531441</v>
      </c>
      <c r="M6">
        <f t="shared" si="1"/>
        <v>3.0908750034263708</v>
      </c>
      <c r="N6">
        <f t="shared" si="2"/>
        <v>3090.8750034263708</v>
      </c>
    </row>
    <row r="7" spans="1:15" x14ac:dyDescent="0.3">
      <c r="G7" s="1">
        <v>5</v>
      </c>
      <c r="H7" s="1">
        <v>88</v>
      </c>
      <c r="I7" s="1">
        <v>24.52</v>
      </c>
      <c r="J7" s="1">
        <v>313</v>
      </c>
      <c r="K7">
        <f t="shared" si="0"/>
        <v>7.8338658146964849E-2</v>
      </c>
      <c r="L7">
        <f t="shared" si="3"/>
        <v>681472</v>
      </c>
      <c r="M7">
        <f t="shared" si="1"/>
        <v>3.1137132922037232</v>
      </c>
      <c r="N7">
        <f t="shared" si="2"/>
        <v>3113.7132922037231</v>
      </c>
    </row>
    <row r="8" spans="1:15" x14ac:dyDescent="0.3">
      <c r="G8" s="1">
        <v>6</v>
      </c>
      <c r="H8" s="1">
        <v>95</v>
      </c>
      <c r="I8" s="1">
        <v>26.65</v>
      </c>
      <c r="J8" s="1">
        <v>290.3</v>
      </c>
      <c r="K8">
        <f t="shared" si="0"/>
        <v>9.1801584567688596E-2</v>
      </c>
      <c r="L8">
        <f t="shared" si="3"/>
        <v>857375</v>
      </c>
      <c r="M8">
        <f t="shared" si="1"/>
        <v>3.1215182867234601</v>
      </c>
      <c r="N8">
        <f t="shared" si="2"/>
        <v>3121.5182867234603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15FE-B56D-4837-8D94-7C14FE66C274}">
  <sheetPr>
    <tabColor theme="4" tint="0.59999389629810485"/>
  </sheetPr>
  <dimension ref="A1:O9"/>
  <sheetViews>
    <sheetView workbookViewId="0">
      <selection activeCell="A2" sqref="A2:N2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7.9140625" customWidth="1"/>
    <col min="6" max="6" width="9.25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1.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45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44</v>
      </c>
      <c r="B2" s="6">
        <v>3.88</v>
      </c>
      <c r="C2" s="6">
        <v>25.03</v>
      </c>
      <c r="D2" s="6">
        <v>49</v>
      </c>
      <c r="E2" s="10">
        <v>7.5010700000000006E-8</v>
      </c>
      <c r="F2" s="6">
        <v>2.3269999999999999E-2</v>
      </c>
      <c r="G2" s="8" t="s">
        <v>9</v>
      </c>
      <c r="H2" s="6">
        <v>49</v>
      </c>
      <c r="I2" s="6">
        <v>11.28</v>
      </c>
      <c r="J2" s="6">
        <v>579.6</v>
      </c>
      <c r="K2" s="9">
        <f>I2:I11/J2:J11</f>
        <v>1.9461697722567287E-2</v>
      </c>
      <c r="L2" s="9">
        <f>H2:H11^3</f>
        <v>117649</v>
      </c>
      <c r="M2" s="9">
        <f>(3*0.0000000750107*(J2:J9^2)*(H2:H9^2))/(2*25.03)</f>
        <v>3.6257891198824841</v>
      </c>
      <c r="N2" s="9">
        <f>M2:M11*1000</f>
        <v>3625.7891198824841</v>
      </c>
      <c r="O2">
        <f>AVERAGE(N3:N9)</f>
        <v>4064.2314969932181</v>
      </c>
    </row>
    <row r="3" spans="1:15" x14ac:dyDescent="0.3">
      <c r="G3" s="1">
        <v>1</v>
      </c>
      <c r="H3" s="1">
        <v>58</v>
      </c>
      <c r="I3" s="1">
        <v>21.27</v>
      </c>
      <c r="J3" s="1">
        <v>543.20000000000005</v>
      </c>
      <c r="K3">
        <f t="shared" ref="K3:K9" si="0">I3:I12/J3:J12</f>
        <v>3.9156848306332835E-2</v>
      </c>
      <c r="L3">
        <f t="shared" ref="L3:L9" si="1">H3:H12^3</f>
        <v>195112</v>
      </c>
      <c r="M3">
        <f t="shared" ref="M3:M9" si="2">(3*0.0000000750107*(J3:J10^2)*(H3:H10^2))/(2*25.03)</f>
        <v>4.4619955974208292</v>
      </c>
      <c r="N3">
        <f t="shared" ref="N3:N9" si="3">M3:M12*1000</f>
        <v>4461.9955974208287</v>
      </c>
    </row>
    <row r="4" spans="1:15" x14ac:dyDescent="0.3">
      <c r="G4" s="1">
        <v>2</v>
      </c>
      <c r="H4" s="1">
        <v>63</v>
      </c>
      <c r="I4" s="1">
        <v>21.39</v>
      </c>
      <c r="J4" s="1">
        <v>494.8</v>
      </c>
      <c r="K4">
        <f t="shared" si="0"/>
        <v>4.3229587712206953E-2</v>
      </c>
      <c r="L4">
        <f t="shared" si="1"/>
        <v>250047</v>
      </c>
      <c r="M4">
        <f t="shared" si="2"/>
        <v>4.3681154526677686</v>
      </c>
      <c r="N4">
        <f t="shared" si="3"/>
        <v>4368.1154526677683</v>
      </c>
    </row>
    <row r="5" spans="1:15" x14ac:dyDescent="0.3">
      <c r="G5" s="1">
        <v>3</v>
      </c>
      <c r="H5" s="1">
        <v>72</v>
      </c>
      <c r="I5" s="1">
        <v>21.52</v>
      </c>
      <c r="J5" s="1">
        <v>435.3</v>
      </c>
      <c r="K5">
        <f t="shared" si="0"/>
        <v>4.9437169767976109E-2</v>
      </c>
      <c r="L5">
        <f t="shared" si="1"/>
        <v>373248</v>
      </c>
      <c r="M5">
        <f t="shared" si="2"/>
        <v>4.4156633454671788</v>
      </c>
      <c r="N5">
        <f t="shared" si="3"/>
        <v>4415.6633454671792</v>
      </c>
    </row>
    <row r="6" spans="1:15" x14ac:dyDescent="0.3">
      <c r="G6" s="1">
        <v>4</v>
      </c>
      <c r="H6" s="1">
        <v>76</v>
      </c>
      <c r="I6" s="1">
        <v>22.04</v>
      </c>
      <c r="J6" s="1">
        <v>388.3</v>
      </c>
      <c r="K6">
        <f t="shared" si="0"/>
        <v>5.6760236930208596E-2</v>
      </c>
      <c r="L6">
        <f t="shared" si="1"/>
        <v>438976</v>
      </c>
      <c r="M6">
        <f t="shared" si="2"/>
        <v>3.9148542094859002</v>
      </c>
      <c r="N6">
        <f t="shared" si="3"/>
        <v>3914.8542094859004</v>
      </c>
    </row>
    <row r="7" spans="1:15" x14ac:dyDescent="0.3">
      <c r="G7" s="1">
        <v>5</v>
      </c>
      <c r="H7" s="1">
        <v>84</v>
      </c>
      <c r="I7" s="1">
        <v>23.06</v>
      </c>
      <c r="J7" s="1">
        <v>354.2</v>
      </c>
      <c r="K7">
        <f t="shared" si="0"/>
        <v>6.5104460756634674E-2</v>
      </c>
      <c r="L7">
        <f t="shared" si="1"/>
        <v>592704</v>
      </c>
      <c r="M7">
        <f t="shared" si="2"/>
        <v>3.9793241134311157</v>
      </c>
      <c r="N7">
        <f t="shared" si="3"/>
        <v>3979.3241134311156</v>
      </c>
    </row>
    <row r="8" spans="1:15" x14ac:dyDescent="0.3">
      <c r="G8" s="1">
        <v>6</v>
      </c>
      <c r="H8" s="1">
        <v>90</v>
      </c>
      <c r="I8" s="1">
        <v>24.32</v>
      </c>
      <c r="J8" s="1">
        <v>322.10000000000002</v>
      </c>
      <c r="K8">
        <f t="shared" si="0"/>
        <v>7.5504501707544233E-2</v>
      </c>
      <c r="L8">
        <f t="shared" si="1"/>
        <v>729000</v>
      </c>
      <c r="M8">
        <f t="shared" si="2"/>
        <v>3.7776358939089922</v>
      </c>
      <c r="N8">
        <f t="shared" si="3"/>
        <v>3777.6358939089923</v>
      </c>
    </row>
    <row r="9" spans="1:15" x14ac:dyDescent="0.3">
      <c r="G9" s="1">
        <v>7</v>
      </c>
      <c r="H9" s="1">
        <v>94</v>
      </c>
      <c r="I9" s="1">
        <v>26.68</v>
      </c>
      <c r="J9" s="1">
        <v>298.2</v>
      </c>
      <c r="K9">
        <f t="shared" si="0"/>
        <v>8.9470154258886658E-2</v>
      </c>
      <c r="L9">
        <f t="shared" si="1"/>
        <v>830584</v>
      </c>
      <c r="M9">
        <f t="shared" si="2"/>
        <v>3.5320318665707418</v>
      </c>
      <c r="N9">
        <f t="shared" si="3"/>
        <v>3532.0318665707418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2B34-4EA7-40D1-8185-1FBC23C606D6}">
  <sheetPr>
    <tabColor theme="4" tint="0.59999389629810485"/>
  </sheetPr>
  <dimension ref="A1:O9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1.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47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46</v>
      </c>
      <c r="B2" s="6">
        <v>3.9</v>
      </c>
      <c r="C2" s="6">
        <v>25.08</v>
      </c>
      <c r="D2" s="6">
        <v>48</v>
      </c>
      <c r="E2" s="10">
        <v>7.08639E-8</v>
      </c>
      <c r="F2" s="6">
        <v>2.5489999999999999E-2</v>
      </c>
      <c r="G2" s="8" t="s">
        <v>9</v>
      </c>
      <c r="H2" s="6">
        <v>48</v>
      </c>
      <c r="I2" s="6">
        <v>10.96</v>
      </c>
      <c r="J2" s="6">
        <v>597.1</v>
      </c>
      <c r="K2" s="9">
        <f>I2:I11/J2:J11</f>
        <v>1.8355384357729026E-2</v>
      </c>
      <c r="L2" s="9">
        <f>H2:H11^3</f>
        <v>110592</v>
      </c>
      <c r="M2" s="9">
        <f>(3*0.0000000708639*(J2:J9^2)*(H2:H9^2))/(2*25.08)</f>
        <v>3.4814919401430204</v>
      </c>
      <c r="N2" s="9">
        <f>M2:M11*1000</f>
        <v>3481.4919401430207</v>
      </c>
      <c r="O2">
        <f>AVERAGE(N3:N9)</f>
        <v>3739.7994481875744</v>
      </c>
    </row>
    <row r="3" spans="1:15" x14ac:dyDescent="0.3">
      <c r="G3" s="1">
        <v>1</v>
      </c>
      <c r="H3" s="1">
        <v>55</v>
      </c>
      <c r="I3" s="1">
        <v>20.97</v>
      </c>
      <c r="J3">
        <v>530.9</v>
      </c>
      <c r="K3">
        <f t="shared" ref="K3:K9" si="0">I3:I12/J3:J12</f>
        <v>3.9498964023356564E-2</v>
      </c>
      <c r="L3">
        <f t="shared" ref="L3:L9" si="1">H3:H12^3</f>
        <v>166375</v>
      </c>
      <c r="M3">
        <f t="shared" ref="M3:M9" si="2">(3*0.0000000708639*(J3:J10^2)*(H3:H10^2))/(2*25.08)</f>
        <v>3.6135960818083719</v>
      </c>
      <c r="N3">
        <f t="shared" ref="N3:N9" si="3">M3:M12*1000</f>
        <v>3613.5960818083718</v>
      </c>
    </row>
    <row r="4" spans="1:15" x14ac:dyDescent="0.3">
      <c r="G4" s="1">
        <v>2</v>
      </c>
      <c r="H4" s="1">
        <v>61.5</v>
      </c>
      <c r="I4" s="1">
        <v>21.48</v>
      </c>
      <c r="J4">
        <v>491.4</v>
      </c>
      <c r="K4">
        <f t="shared" si="0"/>
        <v>4.3711843711843716E-2</v>
      </c>
      <c r="L4">
        <f t="shared" si="1"/>
        <v>232608.375</v>
      </c>
      <c r="M4">
        <f t="shared" si="2"/>
        <v>3.8708764769158446</v>
      </c>
      <c r="N4">
        <f t="shared" si="3"/>
        <v>3870.8764769158447</v>
      </c>
    </row>
    <row r="5" spans="1:15" x14ac:dyDescent="0.3">
      <c r="G5" s="1">
        <v>3</v>
      </c>
      <c r="H5" s="1">
        <v>71</v>
      </c>
      <c r="I5" s="1">
        <v>21.74</v>
      </c>
      <c r="J5">
        <v>440.9</v>
      </c>
      <c r="K5">
        <f t="shared" si="0"/>
        <v>4.9308233159446588E-2</v>
      </c>
      <c r="L5">
        <f t="shared" si="1"/>
        <v>357911</v>
      </c>
      <c r="M5">
        <f t="shared" si="2"/>
        <v>4.1532270323795402</v>
      </c>
      <c r="N5">
        <f t="shared" si="3"/>
        <v>4153.2270323795401</v>
      </c>
    </row>
    <row r="6" spans="1:15" x14ac:dyDescent="0.3">
      <c r="G6" s="1">
        <v>4</v>
      </c>
      <c r="H6" s="1">
        <v>76</v>
      </c>
      <c r="I6" s="1">
        <v>22.42</v>
      </c>
      <c r="J6">
        <v>396.3</v>
      </c>
      <c r="K6">
        <f t="shared" si="0"/>
        <v>5.6573303053242499E-2</v>
      </c>
      <c r="L6">
        <f t="shared" si="1"/>
        <v>438976</v>
      </c>
      <c r="M6">
        <f t="shared" si="2"/>
        <v>3.8447145940550733</v>
      </c>
      <c r="N6">
        <f t="shared" si="3"/>
        <v>3844.7145940550731</v>
      </c>
    </row>
    <row r="7" spans="1:15" x14ac:dyDescent="0.3">
      <c r="G7" s="1">
        <v>5</v>
      </c>
      <c r="H7" s="1">
        <v>84</v>
      </c>
      <c r="I7" s="1">
        <v>23.32</v>
      </c>
      <c r="J7">
        <v>357.5</v>
      </c>
      <c r="K7">
        <f t="shared" si="0"/>
        <v>6.5230769230769231E-2</v>
      </c>
      <c r="L7">
        <f t="shared" si="1"/>
        <v>592704</v>
      </c>
      <c r="M7">
        <f t="shared" si="2"/>
        <v>3.8220770811907898</v>
      </c>
      <c r="N7">
        <f t="shared" si="3"/>
        <v>3822.0770811907896</v>
      </c>
    </row>
    <row r="8" spans="1:15" x14ac:dyDescent="0.3">
      <c r="G8" s="1">
        <v>6</v>
      </c>
      <c r="H8" s="1">
        <v>90</v>
      </c>
      <c r="I8" s="1">
        <v>24.39</v>
      </c>
      <c r="J8">
        <v>321.39999999999998</v>
      </c>
      <c r="K8">
        <f t="shared" si="0"/>
        <v>7.5886745488487867E-2</v>
      </c>
      <c r="L8">
        <f t="shared" si="1"/>
        <v>729000</v>
      </c>
      <c r="M8">
        <f t="shared" si="2"/>
        <v>3.5462189050189235</v>
      </c>
      <c r="N8">
        <f t="shared" si="3"/>
        <v>3546.2189050189236</v>
      </c>
    </row>
    <row r="9" spans="1:15" x14ac:dyDescent="0.3">
      <c r="G9" s="1">
        <v>7</v>
      </c>
      <c r="H9" s="1">
        <v>94</v>
      </c>
      <c r="I9" s="1">
        <v>26.42</v>
      </c>
      <c r="J9">
        <v>298.10000000000002</v>
      </c>
      <c r="K9">
        <f t="shared" si="0"/>
        <v>8.8627977188862797E-2</v>
      </c>
      <c r="L9">
        <f t="shared" si="1"/>
        <v>830584</v>
      </c>
      <c r="M9">
        <f t="shared" si="2"/>
        <v>3.3278859659444771</v>
      </c>
      <c r="N9">
        <f t="shared" si="3"/>
        <v>3327.885965944477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452-30C5-4F27-A5DB-77CF2E9762AF}">
  <sheetPr>
    <tabColor theme="4" tint="0.59999389629810485"/>
  </sheetPr>
  <dimension ref="A1:O9"/>
  <sheetViews>
    <sheetView topLeftCell="C1"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1640625" customWidth="1"/>
    <col min="6" max="6" width="9.4140625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49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48</v>
      </c>
      <c r="B2" s="6">
        <v>3.9</v>
      </c>
      <c r="C2" s="6">
        <v>25.06</v>
      </c>
      <c r="D2" s="6">
        <v>49</v>
      </c>
      <c r="E2" s="10">
        <v>7.4096000000000004E-8</v>
      </c>
      <c r="F2" s="6">
        <v>2.6839999999999999E-2</v>
      </c>
      <c r="G2" s="8" t="s">
        <v>9</v>
      </c>
      <c r="H2" s="6">
        <v>49</v>
      </c>
      <c r="I2" s="6">
        <v>11.04</v>
      </c>
      <c r="J2" s="6">
        <v>575.4</v>
      </c>
      <c r="K2" s="9">
        <f>I2:I11/J2:J11</f>
        <v>1.9186652763295099E-2</v>
      </c>
      <c r="L2" s="9">
        <f>H2:H11^3</f>
        <v>117649</v>
      </c>
      <c r="M2" s="9">
        <f>(3*0.000000074096*(J2:J9^2)*(H2:H9^2))/(2*25.06)</f>
        <v>3.5256307974588603</v>
      </c>
      <c r="N2" s="9">
        <f>M2:M11*1000</f>
        <v>3525.6307974588603</v>
      </c>
      <c r="O2">
        <f>AVERAGE(N3:N9)</f>
        <v>3404.1740106970251</v>
      </c>
    </row>
    <row r="3" spans="1:15" x14ac:dyDescent="0.3">
      <c r="G3" s="1">
        <v>1</v>
      </c>
      <c r="H3" s="1">
        <v>56</v>
      </c>
      <c r="I3" s="1">
        <v>20.59</v>
      </c>
      <c r="J3" s="1">
        <v>500.3</v>
      </c>
      <c r="K3">
        <f t="shared" ref="K3:K9" si="0">I3:I12/J3:J12</f>
        <v>4.1155306815910453E-2</v>
      </c>
      <c r="L3">
        <f t="shared" ref="L3:L9" si="1">H3:H12^3</f>
        <v>175616</v>
      </c>
      <c r="M3">
        <f t="shared" ref="M3:M9" si="2">(3*0.000000074096*(J3:J10^2)*(H3:H10^2))/(2*25.06)</f>
        <v>3.4813045348955538</v>
      </c>
      <c r="N3">
        <f t="shared" ref="N3:N9" si="3">M3:M12*1000</f>
        <v>3481.3045348955538</v>
      </c>
    </row>
    <row r="4" spans="1:15" x14ac:dyDescent="0.3">
      <c r="G4" s="1">
        <v>2</v>
      </c>
      <c r="H4" s="1">
        <v>63</v>
      </c>
      <c r="I4" s="1">
        <v>20.87</v>
      </c>
      <c r="J4" s="1">
        <v>461.9</v>
      </c>
      <c r="K4">
        <f t="shared" si="0"/>
        <v>4.5182940030309593E-2</v>
      </c>
      <c r="L4">
        <f t="shared" si="1"/>
        <v>250047</v>
      </c>
      <c r="M4">
        <f t="shared" si="2"/>
        <v>3.7556229080511963</v>
      </c>
      <c r="N4">
        <f t="shared" si="3"/>
        <v>3755.6229080511962</v>
      </c>
    </row>
    <row r="5" spans="1:15" x14ac:dyDescent="0.3">
      <c r="G5" s="1">
        <v>3</v>
      </c>
      <c r="H5" s="1">
        <v>70</v>
      </c>
      <c r="I5" s="1">
        <v>21.07</v>
      </c>
      <c r="J5" s="1">
        <v>413.8</v>
      </c>
      <c r="K5">
        <f t="shared" si="0"/>
        <v>5.0918318028032865E-2</v>
      </c>
      <c r="L5">
        <f t="shared" si="1"/>
        <v>343000</v>
      </c>
      <c r="M5">
        <f t="shared" si="2"/>
        <v>3.7211914012156431</v>
      </c>
      <c r="N5">
        <f t="shared" si="3"/>
        <v>3721.1914012156431</v>
      </c>
    </row>
    <row r="6" spans="1:15" x14ac:dyDescent="0.3">
      <c r="G6" s="1">
        <v>4</v>
      </c>
      <c r="H6" s="1">
        <v>76</v>
      </c>
      <c r="I6" s="1">
        <v>21.51</v>
      </c>
      <c r="J6" s="1">
        <v>369.3</v>
      </c>
      <c r="K6">
        <f t="shared" si="0"/>
        <v>5.8245329000812349E-2</v>
      </c>
      <c r="L6">
        <f t="shared" si="1"/>
        <v>438976</v>
      </c>
      <c r="M6">
        <f t="shared" si="2"/>
        <v>3.4937413977016192</v>
      </c>
      <c r="N6">
        <f t="shared" si="3"/>
        <v>3493.741397701619</v>
      </c>
    </row>
    <row r="7" spans="1:15" x14ac:dyDescent="0.3">
      <c r="G7" s="1">
        <v>5</v>
      </c>
      <c r="H7" s="1">
        <v>80</v>
      </c>
      <c r="I7" s="1">
        <v>22.15</v>
      </c>
      <c r="J7" s="1">
        <v>331.3</v>
      </c>
      <c r="K7">
        <f t="shared" si="0"/>
        <v>6.6857832779957729E-2</v>
      </c>
      <c r="L7">
        <f t="shared" si="1"/>
        <v>512000</v>
      </c>
      <c r="M7">
        <f t="shared" si="2"/>
        <v>3.1155003314566643</v>
      </c>
      <c r="N7">
        <f t="shared" si="3"/>
        <v>3115.5003314566643</v>
      </c>
    </row>
    <row r="8" spans="1:15" x14ac:dyDescent="0.3">
      <c r="G8" s="1">
        <v>6</v>
      </c>
      <c r="H8" s="1">
        <v>90</v>
      </c>
      <c r="I8" s="1">
        <v>23.34</v>
      </c>
      <c r="J8" s="1">
        <v>300</v>
      </c>
      <c r="K8">
        <f t="shared" si="0"/>
        <v>7.7799999999999994E-2</v>
      </c>
      <c r="L8">
        <f t="shared" si="1"/>
        <v>729000</v>
      </c>
      <c r="M8">
        <f t="shared" si="2"/>
        <v>3.2331993615323227</v>
      </c>
      <c r="N8">
        <f t="shared" si="3"/>
        <v>3233.1993615323227</v>
      </c>
    </row>
    <row r="9" spans="1:15" x14ac:dyDescent="0.3">
      <c r="G9" s="1">
        <v>7</v>
      </c>
      <c r="H9" s="1">
        <v>94</v>
      </c>
      <c r="I9" s="1">
        <v>25.22</v>
      </c>
      <c r="J9" s="1">
        <v>278</v>
      </c>
      <c r="K9">
        <f t="shared" si="0"/>
        <v>9.0719424460431644E-2</v>
      </c>
      <c r="L9">
        <f t="shared" si="1"/>
        <v>830584</v>
      </c>
      <c r="M9">
        <f t="shared" si="2"/>
        <v>3.0286581400261769</v>
      </c>
      <c r="N9">
        <f t="shared" si="3"/>
        <v>3028.6581400261771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3454-B9CA-40E8-839C-B85D867982FB}">
  <dimension ref="A1:O9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19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18</v>
      </c>
      <c r="B2" s="6">
        <v>3.84</v>
      </c>
      <c r="C2" s="6">
        <v>25.22</v>
      </c>
      <c r="D2" s="6">
        <v>55.5</v>
      </c>
      <c r="E2" s="10">
        <v>8.0288400000000006E-8</v>
      </c>
      <c r="F2" s="6">
        <v>3.5799999999999998E-2</v>
      </c>
      <c r="G2" s="8" t="s">
        <v>9</v>
      </c>
      <c r="H2" s="6">
        <v>55.5</v>
      </c>
      <c r="I2" s="6">
        <v>13.6</v>
      </c>
      <c r="J2" s="6">
        <v>573.1</v>
      </c>
      <c r="K2" s="9">
        <f>I2:I9/J2:J9</f>
        <v>2.3730588030012212E-2</v>
      </c>
      <c r="L2" s="9">
        <f>H2:H9^3</f>
        <v>170953.875</v>
      </c>
      <c r="M2" s="9">
        <f>(3*0.0000000802884*(J2:J9^2)*(H2:H9^2))/(2*25.22)</f>
        <v>4.8310970649876817</v>
      </c>
      <c r="N2" s="9">
        <f>M2:M9*1000</f>
        <v>4831.0970649876817</v>
      </c>
      <c r="O2">
        <f>AVERAGE(N3:N9)</f>
        <v>3319.5703813634827</v>
      </c>
    </row>
    <row r="3" spans="1:15" x14ac:dyDescent="0.3">
      <c r="G3" s="1">
        <v>1</v>
      </c>
      <c r="H3" s="1">
        <v>60</v>
      </c>
      <c r="I3" s="1">
        <v>23.06</v>
      </c>
      <c r="J3" s="1">
        <v>435.9</v>
      </c>
      <c r="K3">
        <f t="shared" ref="K3:K9" si="0">I3:I10/J3:J10</f>
        <v>5.2902041752695569E-2</v>
      </c>
      <c r="L3">
        <f t="shared" ref="L3:L9" si="1">H3:H10^3</f>
        <v>216000</v>
      </c>
      <c r="M3">
        <f t="shared" ref="M3:M9" si="2">(3*0.0000000802884*(J3:J10^2)*(H3:H10^2))/(2*25.22)</f>
        <v>3.2664440142879303</v>
      </c>
      <c r="N3">
        <f t="shared" ref="N3:N9" si="3">M3:M10*1000</f>
        <v>3266.4440142879303</v>
      </c>
    </row>
    <row r="4" spans="1:15" x14ac:dyDescent="0.3">
      <c r="G4" s="1">
        <v>2</v>
      </c>
      <c r="H4" s="1">
        <v>63</v>
      </c>
      <c r="I4" s="1">
        <v>23.18</v>
      </c>
      <c r="J4" s="1">
        <v>422.8</v>
      </c>
      <c r="K4">
        <f t="shared" si="0"/>
        <v>5.4824976348155155E-2</v>
      </c>
      <c r="L4">
        <f t="shared" si="1"/>
        <v>250047</v>
      </c>
      <c r="M4">
        <f t="shared" si="2"/>
        <v>3.3880517583515348</v>
      </c>
      <c r="N4">
        <f t="shared" si="3"/>
        <v>3388.0517583515348</v>
      </c>
    </row>
    <row r="5" spans="1:15" x14ac:dyDescent="0.3">
      <c r="G5" s="1">
        <v>3</v>
      </c>
      <c r="H5" s="1">
        <v>72</v>
      </c>
      <c r="I5" s="1">
        <v>24.58</v>
      </c>
      <c r="J5" s="1">
        <v>364.8</v>
      </c>
      <c r="K5">
        <f t="shared" si="0"/>
        <v>6.7379385964912275E-2</v>
      </c>
      <c r="L5">
        <f t="shared" si="1"/>
        <v>373248</v>
      </c>
      <c r="M5">
        <f t="shared" si="2"/>
        <v>3.2943795418468502</v>
      </c>
      <c r="N5">
        <f t="shared" si="3"/>
        <v>3294.3795418468503</v>
      </c>
    </row>
    <row r="6" spans="1:15" x14ac:dyDescent="0.3">
      <c r="G6" s="1">
        <v>4</v>
      </c>
      <c r="H6" s="1">
        <v>74</v>
      </c>
      <c r="I6" s="1">
        <v>24.72</v>
      </c>
      <c r="J6" s="1">
        <v>350.7</v>
      </c>
      <c r="K6">
        <f t="shared" si="0"/>
        <v>7.0487596236099223E-2</v>
      </c>
      <c r="L6">
        <f t="shared" si="1"/>
        <v>405224</v>
      </c>
      <c r="M6">
        <f t="shared" si="2"/>
        <v>3.2161326377951478</v>
      </c>
      <c r="N6">
        <f t="shared" si="3"/>
        <v>3216.1326377951477</v>
      </c>
    </row>
    <row r="7" spans="1:15" x14ac:dyDescent="0.3">
      <c r="G7" s="1">
        <v>5</v>
      </c>
      <c r="H7" s="1">
        <v>80</v>
      </c>
      <c r="I7" s="1">
        <v>24.83</v>
      </c>
      <c r="J7" s="1">
        <v>331.5</v>
      </c>
      <c r="K7">
        <f t="shared" si="0"/>
        <v>7.4901960784313715E-2</v>
      </c>
      <c r="L7">
        <f t="shared" si="1"/>
        <v>512000</v>
      </c>
      <c r="M7">
        <f t="shared" si="2"/>
        <v>3.3585051577731959</v>
      </c>
      <c r="N7">
        <f t="shared" si="3"/>
        <v>3358.5051577731961</v>
      </c>
    </row>
    <row r="8" spans="1:15" x14ac:dyDescent="0.3">
      <c r="G8" s="1">
        <v>6</v>
      </c>
      <c r="H8" s="1">
        <v>88</v>
      </c>
      <c r="I8" s="1">
        <v>27.33</v>
      </c>
      <c r="J8" s="1">
        <v>310</v>
      </c>
      <c r="K8">
        <f t="shared" si="0"/>
        <v>8.8161290322580646E-2</v>
      </c>
      <c r="L8">
        <f t="shared" si="1"/>
        <v>681472</v>
      </c>
      <c r="M8">
        <f t="shared" si="2"/>
        <v>3.5537568686693106</v>
      </c>
      <c r="N8">
        <f t="shared" si="3"/>
        <v>3553.7568686693107</v>
      </c>
    </row>
    <row r="9" spans="1:15" x14ac:dyDescent="0.3">
      <c r="G9" s="1">
        <v>7</v>
      </c>
      <c r="H9" s="1">
        <v>92</v>
      </c>
      <c r="I9" s="1">
        <v>28.02</v>
      </c>
      <c r="J9" s="1">
        <v>279.60000000000002</v>
      </c>
      <c r="K9">
        <f t="shared" si="0"/>
        <v>0.1002145922746781</v>
      </c>
      <c r="L9">
        <f t="shared" si="1"/>
        <v>778688</v>
      </c>
      <c r="M9">
        <f t="shared" si="2"/>
        <v>3.1597226908204066</v>
      </c>
      <c r="N9">
        <f t="shared" si="3"/>
        <v>3159.7226908204066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B82C-4146-40F5-A8EA-F975CA69C85E}">
  <dimension ref="A1:O7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21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20</v>
      </c>
      <c r="B2" s="6">
        <v>3.92</v>
      </c>
      <c r="C2" s="6">
        <v>24.957000000000001</v>
      </c>
      <c r="D2" s="6">
        <v>56</v>
      </c>
      <c r="E2" s="10">
        <v>7.9904800000000002E-8</v>
      </c>
      <c r="F2" s="6">
        <v>1.5789999999999998E-2</v>
      </c>
      <c r="G2" s="8" t="s">
        <v>9</v>
      </c>
      <c r="H2" s="6">
        <v>56</v>
      </c>
      <c r="I2" s="6">
        <v>12.35</v>
      </c>
      <c r="J2" s="6">
        <v>531.79999999999995</v>
      </c>
      <c r="K2" s="9">
        <f>I2:I7/J2:J7</f>
        <v>2.3223016171493045E-2</v>
      </c>
      <c r="L2" s="9">
        <f>H2:H7^3</f>
        <v>175616</v>
      </c>
      <c r="M2" s="9">
        <f>(3*0.0000000799048*(J2:J9^2)*(H2:H9^2))/(2*24.957)</f>
        <v>4.2593611844794719</v>
      </c>
      <c r="N2" s="9">
        <f>M2:M7*1000</f>
        <v>4259.3611844794723</v>
      </c>
      <c r="O2">
        <f>AVERAGE(N3:N7)</f>
        <v>4649.2120363690256</v>
      </c>
    </row>
    <row r="3" spans="1:15" x14ac:dyDescent="0.3">
      <c r="G3" s="1">
        <v>1</v>
      </c>
      <c r="H3" s="1">
        <v>71</v>
      </c>
      <c r="I3" s="1">
        <v>21.69</v>
      </c>
      <c r="J3" s="1">
        <v>491.5</v>
      </c>
      <c r="K3">
        <f t="shared" ref="K3:K7" si="0">I3:I8/J3:J8</f>
        <v>4.4130213631739579E-2</v>
      </c>
      <c r="L3">
        <f t="shared" ref="L3:L7" si="1">H3:H8^3</f>
        <v>357911</v>
      </c>
      <c r="M3">
        <f t="shared" ref="M3:M7" si="2">(3*0.0000000799048*(J3:J10^2)*(H3:H10^2))/(2*24.957)</f>
        <v>5.848378752505937</v>
      </c>
      <c r="N3">
        <f t="shared" ref="N3:N7" si="3">M3:M8*1000</f>
        <v>5848.378752505937</v>
      </c>
    </row>
    <row r="4" spans="1:15" x14ac:dyDescent="0.3">
      <c r="G4" s="1">
        <v>2</v>
      </c>
      <c r="H4" s="1">
        <v>78</v>
      </c>
      <c r="I4" s="1">
        <v>22.41</v>
      </c>
      <c r="J4" s="1">
        <v>411.78</v>
      </c>
      <c r="K4">
        <f t="shared" si="0"/>
        <v>5.4422264315896841E-2</v>
      </c>
      <c r="L4">
        <f t="shared" si="1"/>
        <v>474552</v>
      </c>
      <c r="M4">
        <f t="shared" si="2"/>
        <v>4.9544044009371051</v>
      </c>
      <c r="N4">
        <f t="shared" si="3"/>
        <v>4954.4044009371055</v>
      </c>
    </row>
    <row r="5" spans="1:15" x14ac:dyDescent="0.3">
      <c r="G5" s="1">
        <v>3</v>
      </c>
      <c r="H5" s="1">
        <v>85</v>
      </c>
      <c r="I5" s="1">
        <v>22.58</v>
      </c>
      <c r="J5" s="1">
        <v>341.83</v>
      </c>
      <c r="K5">
        <f t="shared" si="0"/>
        <v>6.6056226779393268E-2</v>
      </c>
      <c r="L5">
        <f t="shared" si="1"/>
        <v>614125</v>
      </c>
      <c r="M5">
        <f t="shared" si="2"/>
        <v>4.0544313406389945</v>
      </c>
      <c r="N5">
        <f t="shared" si="3"/>
        <v>4054.4313406389942</v>
      </c>
    </row>
    <row r="6" spans="1:15" x14ac:dyDescent="0.3">
      <c r="G6" s="1">
        <v>4</v>
      </c>
      <c r="H6" s="1">
        <v>90</v>
      </c>
      <c r="I6" s="1">
        <v>24.17</v>
      </c>
      <c r="J6" s="1">
        <v>342.2</v>
      </c>
      <c r="K6">
        <f t="shared" si="0"/>
        <v>7.0631209818819415E-2</v>
      </c>
      <c r="L6">
        <f t="shared" si="1"/>
        <v>729000</v>
      </c>
      <c r="M6">
        <f t="shared" si="2"/>
        <v>4.5552978435063824</v>
      </c>
      <c r="N6">
        <f t="shared" si="3"/>
        <v>4555.2978435063824</v>
      </c>
    </row>
    <row r="7" spans="1:15" x14ac:dyDescent="0.3">
      <c r="G7" s="1">
        <v>5</v>
      </c>
      <c r="H7" s="1">
        <v>95</v>
      </c>
      <c r="I7" s="1">
        <v>25.59</v>
      </c>
      <c r="J7" s="1">
        <v>297.39999999999998</v>
      </c>
      <c r="K7">
        <f t="shared" si="0"/>
        <v>8.6045729657027573E-2</v>
      </c>
      <c r="L7">
        <f t="shared" si="1"/>
        <v>857375</v>
      </c>
      <c r="M7">
        <f t="shared" si="2"/>
        <v>3.8335478442567119</v>
      </c>
      <c r="N7">
        <f t="shared" si="3"/>
        <v>3833.5478442567119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D5AB-7A48-4358-9DBD-F6C3EA405DB3}">
  <dimension ref="A1:O11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23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22</v>
      </c>
      <c r="B2" s="6">
        <v>3.94</v>
      </c>
      <c r="C2" s="6">
        <v>25.077000000000002</v>
      </c>
      <c r="D2" s="6">
        <v>56</v>
      </c>
      <c r="E2" s="10">
        <v>6.5978400000000005E-8</v>
      </c>
      <c r="F2" s="6">
        <v>3.5180000000000003E-2</v>
      </c>
      <c r="G2" s="8" t="s">
        <v>9</v>
      </c>
      <c r="H2" s="6">
        <v>56</v>
      </c>
      <c r="I2" s="6">
        <v>11.5</v>
      </c>
      <c r="J2" s="6">
        <v>531.6</v>
      </c>
      <c r="K2" s="9">
        <f>I2:I11/J2:J11</f>
        <v>2.1632806621519937E-2</v>
      </c>
      <c r="L2" s="9">
        <f>H2:H11^3</f>
        <v>175616</v>
      </c>
      <c r="M2" s="9">
        <f>(3*0.0000000659784*(J2:J9^2)*(H2:H9^2))/(2*25.077)</f>
        <v>3.4975461781518211</v>
      </c>
      <c r="N2" s="9">
        <f>M2:M11*1000</f>
        <v>3497.5461781518211</v>
      </c>
      <c r="O2">
        <f>AVERAGE(N3:N11)</f>
        <v>2639.0273489071028</v>
      </c>
    </row>
    <row r="3" spans="1:15" x14ac:dyDescent="0.3">
      <c r="G3" s="1">
        <v>1</v>
      </c>
      <c r="H3" s="1">
        <v>60</v>
      </c>
      <c r="I3" s="1">
        <v>20.76</v>
      </c>
      <c r="J3" s="1">
        <v>418.1</v>
      </c>
      <c r="K3">
        <f t="shared" ref="K3:K11" si="0">I3:I12/J3:J12</f>
        <v>4.9653193016024874E-2</v>
      </c>
      <c r="L3">
        <f t="shared" ref="L3:L11" si="1">H3:H12^3</f>
        <v>216000</v>
      </c>
      <c r="M3">
        <f t="shared" ref="M3:M11" si="2">(3*0.0000000659784*(J3:J10^2)*(H3:H10^2))/(2*25.077)</f>
        <v>2.4835922416704395</v>
      </c>
      <c r="N3">
        <f t="shared" ref="N3:N11" si="3">M3:M12*1000</f>
        <v>2483.5922416704393</v>
      </c>
    </row>
    <row r="4" spans="1:15" x14ac:dyDescent="0.3">
      <c r="G4" s="1">
        <v>2</v>
      </c>
      <c r="H4" s="1">
        <v>62</v>
      </c>
      <c r="I4" s="1">
        <v>20.83</v>
      </c>
      <c r="J4" s="1">
        <v>403.9</v>
      </c>
      <c r="K4">
        <f t="shared" si="0"/>
        <v>5.1572171329537016E-2</v>
      </c>
      <c r="L4">
        <f t="shared" si="1"/>
        <v>238328</v>
      </c>
      <c r="M4">
        <f t="shared" si="2"/>
        <v>2.4748480760916145</v>
      </c>
      <c r="N4">
        <f t="shared" si="3"/>
        <v>2474.8480760916145</v>
      </c>
    </row>
    <row r="5" spans="1:15" x14ac:dyDescent="0.3">
      <c r="G5" s="1">
        <v>3</v>
      </c>
      <c r="H5" s="1">
        <v>70</v>
      </c>
      <c r="I5" s="1">
        <v>20.91</v>
      </c>
      <c r="J5" s="1">
        <v>385.2</v>
      </c>
      <c r="K5">
        <f t="shared" si="0"/>
        <v>5.4283489096573212E-2</v>
      </c>
      <c r="L5">
        <f t="shared" si="1"/>
        <v>343000</v>
      </c>
      <c r="M5">
        <f t="shared" si="2"/>
        <v>2.8693669756194757</v>
      </c>
      <c r="N5">
        <f t="shared" si="3"/>
        <v>2869.3669756194759</v>
      </c>
    </row>
    <row r="6" spans="1:15" x14ac:dyDescent="0.3">
      <c r="G6" s="1">
        <v>4</v>
      </c>
      <c r="H6" s="1">
        <v>72</v>
      </c>
      <c r="I6" s="1">
        <v>20.97</v>
      </c>
      <c r="J6" s="1">
        <v>336.9</v>
      </c>
      <c r="K6">
        <f t="shared" si="0"/>
        <v>6.2243989314336598E-2</v>
      </c>
      <c r="L6">
        <f t="shared" si="1"/>
        <v>373248</v>
      </c>
      <c r="M6">
        <f t="shared" si="2"/>
        <v>2.3221190080847713</v>
      </c>
      <c r="N6">
        <f t="shared" si="3"/>
        <v>2322.1190080847714</v>
      </c>
    </row>
    <row r="7" spans="1:15" x14ac:dyDescent="0.3">
      <c r="G7" s="1">
        <v>5</v>
      </c>
      <c r="H7" s="1">
        <v>75</v>
      </c>
      <c r="I7" s="1">
        <v>22.61</v>
      </c>
      <c r="J7" s="1">
        <v>353.9</v>
      </c>
      <c r="K7">
        <f t="shared" si="0"/>
        <v>6.3888103984176325E-2</v>
      </c>
      <c r="L7">
        <f t="shared" si="1"/>
        <v>421875</v>
      </c>
      <c r="M7">
        <f t="shared" si="2"/>
        <v>2.7803605048142712</v>
      </c>
      <c r="N7">
        <f t="shared" si="3"/>
        <v>2780.3605048142713</v>
      </c>
    </row>
    <row r="8" spans="1:15" x14ac:dyDescent="0.3">
      <c r="G8" s="1">
        <v>6</v>
      </c>
      <c r="H8" s="1">
        <v>83</v>
      </c>
      <c r="I8" s="1">
        <v>22.72</v>
      </c>
      <c r="J8" s="1">
        <v>317.60000000000002</v>
      </c>
      <c r="K8">
        <f t="shared" si="0"/>
        <v>7.1536523929471019E-2</v>
      </c>
      <c r="L8">
        <f t="shared" si="1"/>
        <v>571787</v>
      </c>
      <c r="M8">
        <f t="shared" si="2"/>
        <v>2.7424241892489878</v>
      </c>
      <c r="N8">
        <f t="shared" si="3"/>
        <v>2742.4241892489877</v>
      </c>
    </row>
    <row r="9" spans="1:15" x14ac:dyDescent="0.3">
      <c r="G9" s="1">
        <v>7</v>
      </c>
      <c r="H9" s="1">
        <v>90</v>
      </c>
      <c r="I9" s="1">
        <v>24.89</v>
      </c>
      <c r="J9" s="1">
        <v>296.39999999999998</v>
      </c>
      <c r="K9">
        <f t="shared" si="0"/>
        <v>8.3974358974358981E-2</v>
      </c>
      <c r="L9">
        <f t="shared" si="1"/>
        <v>729000</v>
      </c>
      <c r="M9">
        <f t="shared" si="2"/>
        <v>2.8083994294842918</v>
      </c>
      <c r="N9">
        <f t="shared" si="3"/>
        <v>2808.3994294842919</v>
      </c>
    </row>
    <row r="10" spans="1:15" x14ac:dyDescent="0.3">
      <c r="G10" s="1">
        <v>8</v>
      </c>
      <c r="H10" s="1">
        <v>92</v>
      </c>
      <c r="I10" s="1">
        <v>25.11</v>
      </c>
      <c r="J10" s="1">
        <v>282.89999999999998</v>
      </c>
      <c r="K10">
        <f t="shared" si="0"/>
        <v>8.8759278897136806E-2</v>
      </c>
      <c r="L10">
        <f t="shared" si="1"/>
        <v>778688</v>
      </c>
      <c r="M10">
        <f t="shared" si="2"/>
        <v>2.6733696187681546</v>
      </c>
      <c r="N10">
        <f t="shared" si="3"/>
        <v>2673.3696187681544</v>
      </c>
    </row>
    <row r="11" spans="1:15" x14ac:dyDescent="0.3">
      <c r="G11" s="1">
        <v>9</v>
      </c>
      <c r="H11" s="1">
        <v>96</v>
      </c>
      <c r="I11" s="1">
        <v>25.79</v>
      </c>
      <c r="J11" s="1">
        <v>267.2</v>
      </c>
      <c r="K11">
        <f t="shared" si="0"/>
        <v>9.6519461077844315E-2</v>
      </c>
      <c r="L11">
        <f t="shared" si="1"/>
        <v>884736</v>
      </c>
      <c r="M11">
        <f t="shared" si="2"/>
        <v>2.5967660963819172</v>
      </c>
      <c r="N11">
        <f t="shared" si="3"/>
        <v>2596.7660963819171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1F1E-B3A1-4553-A26C-62EC15D8AE25}">
  <dimension ref="A1:O10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27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26</v>
      </c>
      <c r="B2" s="6">
        <v>3.87</v>
      </c>
      <c r="C2" s="6">
        <v>25.123000000000001</v>
      </c>
      <c r="D2" s="6">
        <v>57</v>
      </c>
      <c r="E2" s="10">
        <v>6.1026499999999994E-8</v>
      </c>
      <c r="F2" s="6">
        <v>3.3660000000000002E-2</v>
      </c>
      <c r="G2" s="8" t="s">
        <v>9</v>
      </c>
      <c r="H2" s="6">
        <v>57</v>
      </c>
      <c r="I2" s="6">
        <v>11.5</v>
      </c>
      <c r="J2" s="6">
        <v>505.4</v>
      </c>
      <c r="K2" s="9">
        <f>I2:I9/J2:J9</f>
        <v>2.2754254056193114E-2</v>
      </c>
      <c r="L2" s="9">
        <f>H2:H9^3</f>
        <v>185193</v>
      </c>
      <c r="M2" s="9">
        <f>(3*0.0000000610265*(J2:J9^2)*(H2:H9^2))/(2*25.123)</f>
        <v>3.0238372323432063</v>
      </c>
      <c r="N2" s="9">
        <f>M2:M9*1000</f>
        <v>3023.8372323432063</v>
      </c>
      <c r="O2">
        <f>AVERAGE(N3:N9)</f>
        <v>2372.8356235674423</v>
      </c>
    </row>
    <row r="3" spans="1:15" x14ac:dyDescent="0.3">
      <c r="G3" s="1">
        <v>1</v>
      </c>
      <c r="H3" s="1">
        <v>63</v>
      </c>
      <c r="I3" s="1">
        <v>19.22</v>
      </c>
      <c r="J3" s="1">
        <v>383.1</v>
      </c>
      <c r="K3">
        <f t="shared" ref="K3:K9" si="0">I3:I10/J3:J10</f>
        <v>5.0169668493865824E-2</v>
      </c>
      <c r="L3">
        <f t="shared" ref="L3:L9" si="1">H3:H10^3</f>
        <v>250047</v>
      </c>
      <c r="M3">
        <f t="shared" ref="M3:M9" si="2">(3*0.0000000610265*(J3:J10^2)*(H3:H10^2))/(2*25.123)</f>
        <v>2.1224800974128124</v>
      </c>
      <c r="N3">
        <f t="shared" ref="N3:N9" si="3">M3:M10*1000</f>
        <v>2122.4800974128125</v>
      </c>
    </row>
    <row r="4" spans="1:15" x14ac:dyDescent="0.3">
      <c r="G4" s="1">
        <v>2</v>
      </c>
      <c r="H4" s="1">
        <v>65</v>
      </c>
      <c r="I4" s="1">
        <v>19.309999999999999</v>
      </c>
      <c r="J4" s="1">
        <v>369.6</v>
      </c>
      <c r="K4">
        <f t="shared" si="0"/>
        <v>5.2245670995670991E-2</v>
      </c>
      <c r="L4">
        <f t="shared" si="1"/>
        <v>274625</v>
      </c>
      <c r="M4">
        <f t="shared" si="2"/>
        <v>2.102949588779047</v>
      </c>
      <c r="N4">
        <f t="shared" si="3"/>
        <v>2102.9495887790472</v>
      </c>
    </row>
    <row r="5" spans="1:15" x14ac:dyDescent="0.3">
      <c r="G5" s="1">
        <v>3</v>
      </c>
      <c r="H5" s="1">
        <v>73</v>
      </c>
      <c r="I5" s="1">
        <v>19.559999999999999</v>
      </c>
      <c r="J5" s="1">
        <v>355.9</v>
      </c>
      <c r="K5">
        <f t="shared" si="0"/>
        <v>5.4959258218600732E-2</v>
      </c>
      <c r="L5">
        <f t="shared" si="1"/>
        <v>389017</v>
      </c>
      <c r="M5">
        <f t="shared" si="2"/>
        <v>2.4594608846292823</v>
      </c>
      <c r="N5">
        <f t="shared" si="3"/>
        <v>2459.4608846292822</v>
      </c>
    </row>
    <row r="6" spans="1:15" x14ac:dyDescent="0.3">
      <c r="G6" s="1">
        <v>4</v>
      </c>
      <c r="H6" s="1">
        <v>82</v>
      </c>
      <c r="I6" s="1">
        <v>21.31</v>
      </c>
      <c r="J6" s="1">
        <v>324.10000000000002</v>
      </c>
      <c r="K6">
        <f t="shared" si="0"/>
        <v>6.5751311323665532E-2</v>
      </c>
      <c r="L6">
        <f t="shared" si="1"/>
        <v>551368</v>
      </c>
      <c r="M6">
        <f t="shared" si="2"/>
        <v>2.5734989209853909</v>
      </c>
      <c r="N6">
        <f t="shared" si="3"/>
        <v>2573.4989209853911</v>
      </c>
    </row>
    <row r="7" spans="1:15" x14ac:dyDescent="0.3">
      <c r="G7" s="1">
        <v>5</v>
      </c>
      <c r="H7" s="1">
        <v>88</v>
      </c>
      <c r="I7" s="1">
        <v>21.48</v>
      </c>
      <c r="J7" s="1">
        <v>291.60000000000002</v>
      </c>
      <c r="K7">
        <f t="shared" si="0"/>
        <v>7.366255144032921E-2</v>
      </c>
      <c r="L7">
        <f t="shared" si="1"/>
        <v>681472</v>
      </c>
      <c r="M7">
        <f t="shared" si="2"/>
        <v>2.3992671468240832</v>
      </c>
      <c r="N7">
        <f t="shared" si="3"/>
        <v>2399.2671468240833</v>
      </c>
    </row>
    <row r="8" spans="1:15" x14ac:dyDescent="0.3">
      <c r="G8" s="1">
        <v>6</v>
      </c>
      <c r="H8" s="1">
        <v>94</v>
      </c>
      <c r="I8" s="1">
        <v>24.33</v>
      </c>
      <c r="J8" s="1">
        <v>280.2</v>
      </c>
      <c r="K8">
        <f t="shared" si="0"/>
        <v>8.6830835117773023E-2</v>
      </c>
      <c r="L8">
        <f t="shared" si="1"/>
        <v>830584</v>
      </c>
      <c r="M8">
        <f t="shared" si="2"/>
        <v>2.5277271476368757</v>
      </c>
      <c r="N8">
        <f t="shared" si="3"/>
        <v>2527.7271476368755</v>
      </c>
    </row>
    <row r="9" spans="1:15" x14ac:dyDescent="0.3">
      <c r="G9" s="1">
        <v>7</v>
      </c>
      <c r="H9" s="1">
        <v>96</v>
      </c>
      <c r="I9" s="1">
        <v>24.52</v>
      </c>
      <c r="J9" s="1">
        <v>268.7</v>
      </c>
      <c r="K9">
        <f t="shared" si="0"/>
        <v>9.1254186825455899E-2</v>
      </c>
      <c r="L9">
        <f t="shared" si="1"/>
        <v>884736</v>
      </c>
      <c r="M9">
        <f t="shared" si="2"/>
        <v>2.4244655787046061</v>
      </c>
      <c r="N9">
        <f t="shared" si="3"/>
        <v>2424.4655787046063</v>
      </c>
    </row>
    <row r="10" spans="1:15" x14ac:dyDescent="0.3">
      <c r="G10" s="1"/>
      <c r="H10" s="1"/>
      <c r="I10" s="1"/>
      <c r="J10" s="1"/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ECD5-9275-47F9-9BD0-ABB4A04D3947}">
  <dimension ref="A1:O10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25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24</v>
      </c>
      <c r="B2" s="6">
        <v>3.85</v>
      </c>
      <c r="C2" s="6">
        <v>25.02</v>
      </c>
      <c r="D2" s="6">
        <v>44</v>
      </c>
      <c r="E2" s="10">
        <v>6.9753300000000006E-8</v>
      </c>
      <c r="F2" s="6">
        <v>2.1299999999999999E-2</v>
      </c>
      <c r="G2" s="8" t="s">
        <v>9</v>
      </c>
      <c r="H2" s="6">
        <v>44</v>
      </c>
      <c r="I2" s="6">
        <v>8.7100000000000009</v>
      </c>
      <c r="J2" s="6">
        <v>465.3</v>
      </c>
      <c r="K2" s="9">
        <f>I2:I9/J2:J9</f>
        <v>1.8719105953148508E-2</v>
      </c>
      <c r="L2" s="9">
        <f>H2:H9^3</f>
        <v>85184</v>
      </c>
      <c r="M2" s="9">
        <f>(3*0.0000000697533*(J2:J9^2)*(H2:H9^2))/(2*25.02)</f>
        <v>1.7528315047104432</v>
      </c>
      <c r="N2" s="9">
        <f>M2:M9*1000</f>
        <v>1752.8315047104431</v>
      </c>
      <c r="O2">
        <f>AVERAGE(N3:N9)</f>
        <v>3504.8255473581971</v>
      </c>
    </row>
    <row r="3" spans="1:15" x14ac:dyDescent="0.3">
      <c r="G3" s="1">
        <v>1</v>
      </c>
      <c r="H3" s="1">
        <v>57</v>
      </c>
      <c r="I3" s="1">
        <v>20.170000000000002</v>
      </c>
      <c r="J3" s="1">
        <v>501.3</v>
      </c>
      <c r="K3">
        <f t="shared" ref="K3:K9" si="0">I3:I10/J3:J10</f>
        <v>4.0235387991222824E-2</v>
      </c>
      <c r="L3">
        <f t="shared" ref="L3:L9" si="1">H3:H10^3</f>
        <v>185193</v>
      </c>
      <c r="M3">
        <f t="shared" ref="M3:M9" si="2">(3*0.0000000697533*(J3:J10^2)*(H3:H10^2))/(2*25.02)</f>
        <v>3.4143955599716533</v>
      </c>
      <c r="N3">
        <f t="shared" ref="N3:N9" si="3">M3:M10*1000</f>
        <v>3414.3955599716533</v>
      </c>
    </row>
    <row r="4" spans="1:15" x14ac:dyDescent="0.3">
      <c r="G4" s="1">
        <v>2</v>
      </c>
      <c r="H4" s="1">
        <v>72</v>
      </c>
      <c r="I4" s="1">
        <v>20.23</v>
      </c>
      <c r="J4" s="1">
        <v>480.6</v>
      </c>
      <c r="K4">
        <f t="shared" si="0"/>
        <v>4.2093216812317938E-2</v>
      </c>
      <c r="L4">
        <f t="shared" si="1"/>
        <v>373248</v>
      </c>
      <c r="M4">
        <f t="shared" si="2"/>
        <v>5.0072726326754085</v>
      </c>
      <c r="N4">
        <f t="shared" si="3"/>
        <v>5007.2726326754082</v>
      </c>
    </row>
    <row r="5" spans="1:15" x14ac:dyDescent="0.3">
      <c r="G5" s="1">
        <v>3</v>
      </c>
      <c r="H5" s="1">
        <v>85</v>
      </c>
      <c r="I5" s="1">
        <v>20.25</v>
      </c>
      <c r="J5" s="1">
        <v>377.7</v>
      </c>
      <c r="K5">
        <f t="shared" si="0"/>
        <v>5.3613979348689438E-2</v>
      </c>
      <c r="L5">
        <f t="shared" si="1"/>
        <v>614125</v>
      </c>
      <c r="M5">
        <f t="shared" si="2"/>
        <v>4.3102308749325129</v>
      </c>
      <c r="N5">
        <f t="shared" si="3"/>
        <v>4310.230874932513</v>
      </c>
    </row>
    <row r="6" spans="1:15" x14ac:dyDescent="0.3">
      <c r="G6" s="1">
        <v>4</v>
      </c>
      <c r="H6" s="1">
        <v>86</v>
      </c>
      <c r="I6" s="1">
        <v>21.59</v>
      </c>
      <c r="J6" s="1">
        <v>311.95</v>
      </c>
      <c r="K6">
        <f t="shared" si="0"/>
        <v>6.9209809264305186E-2</v>
      </c>
      <c r="L6">
        <f t="shared" si="1"/>
        <v>636056</v>
      </c>
      <c r="M6">
        <f t="shared" si="2"/>
        <v>3.0097858412821075</v>
      </c>
      <c r="N6">
        <f t="shared" si="3"/>
        <v>3009.7858412821074</v>
      </c>
    </row>
    <row r="7" spans="1:15" x14ac:dyDescent="0.3">
      <c r="G7" s="1">
        <v>5</v>
      </c>
      <c r="H7" s="1">
        <v>89</v>
      </c>
      <c r="I7" s="1">
        <v>21.72</v>
      </c>
      <c r="J7" s="1">
        <v>300.5</v>
      </c>
      <c r="K7">
        <f t="shared" si="0"/>
        <v>7.2279534109816967E-2</v>
      </c>
      <c r="L7">
        <f t="shared" si="1"/>
        <v>704969</v>
      </c>
      <c r="M7">
        <f t="shared" si="2"/>
        <v>2.9911464587987009</v>
      </c>
      <c r="N7">
        <f t="shared" si="3"/>
        <v>2991.1464587987007</v>
      </c>
    </row>
    <row r="8" spans="1:15" x14ac:dyDescent="0.3">
      <c r="G8" s="1">
        <v>6</v>
      </c>
      <c r="H8" s="1">
        <v>95</v>
      </c>
      <c r="I8" s="1">
        <v>23.4</v>
      </c>
      <c r="J8" s="1">
        <v>273.60000000000002</v>
      </c>
      <c r="K8">
        <f t="shared" si="0"/>
        <v>8.5526315789473673E-2</v>
      </c>
      <c r="L8">
        <f t="shared" si="1"/>
        <v>857375</v>
      </c>
      <c r="M8">
        <f t="shared" si="2"/>
        <v>2.825192919149353</v>
      </c>
      <c r="N8">
        <f t="shared" si="3"/>
        <v>2825.1929191493532</v>
      </c>
    </row>
    <row r="9" spans="1:15" x14ac:dyDescent="0.3">
      <c r="G9" s="1">
        <v>7</v>
      </c>
      <c r="H9" s="1">
        <v>98</v>
      </c>
      <c r="I9" s="1">
        <v>24.73</v>
      </c>
      <c r="J9" s="1">
        <v>272.2</v>
      </c>
      <c r="K9">
        <f t="shared" si="0"/>
        <v>9.0852314474651003E-2</v>
      </c>
      <c r="L9">
        <f t="shared" si="1"/>
        <v>941192</v>
      </c>
      <c r="M9">
        <f t="shared" si="2"/>
        <v>2.9757545446976432</v>
      </c>
      <c r="N9">
        <f t="shared" si="3"/>
        <v>2975.7545446976433</v>
      </c>
    </row>
    <row r="10" spans="1:15" x14ac:dyDescent="0.3">
      <c r="G10" s="1"/>
      <c r="H10" s="1"/>
      <c r="I10" s="1"/>
      <c r="J10" s="1"/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EEFB-976C-41E2-8F2E-2AB61966C633}">
  <dimension ref="A1:O7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7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57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56</v>
      </c>
      <c r="B2" s="6">
        <v>3.8866999999999998</v>
      </c>
      <c r="C2" s="6">
        <v>25.0733</v>
      </c>
      <c r="D2" s="6">
        <v>45</v>
      </c>
      <c r="E2" s="10">
        <v>6.2884999999999997E-8</v>
      </c>
      <c r="F2" s="6">
        <v>2.1669999999999998E-2</v>
      </c>
      <c r="G2" s="8" t="s">
        <v>9</v>
      </c>
      <c r="H2" s="6">
        <v>45</v>
      </c>
      <c r="I2" s="6">
        <v>9.6300000000000008</v>
      </c>
      <c r="J2" s="6">
        <v>497.8</v>
      </c>
      <c r="K2" s="9">
        <f>I2:I9/J2:J9</f>
        <v>1.9345118521494578E-2</v>
      </c>
      <c r="L2" s="9">
        <f>H2:H9^3</f>
        <v>91125</v>
      </c>
      <c r="M2" s="9">
        <f>(3*0.000000062885*(J2:J9^2)*(H2:H9^2))/(2*25.0733)</f>
        <v>1.8878245929465809</v>
      </c>
      <c r="N2" s="9">
        <f>M2:M9*1000</f>
        <v>1887.8245929465809</v>
      </c>
      <c r="O2">
        <f>AVERAGE(N3:N7)</f>
        <v>3857.8972129039294</v>
      </c>
    </row>
    <row r="3" spans="1:15" x14ac:dyDescent="0.3">
      <c r="G3" s="1">
        <v>1</v>
      </c>
      <c r="H3" s="1">
        <v>60</v>
      </c>
      <c r="I3" s="1">
        <v>20.7</v>
      </c>
      <c r="J3" s="1">
        <v>518.6</v>
      </c>
      <c r="K3" s="5">
        <f t="shared" ref="K3:K7" si="0">I3:I10/J3:J10</f>
        <v>3.9915156189741612E-2</v>
      </c>
      <c r="L3" s="5">
        <f t="shared" ref="L3:L7" si="1">H3:H10^3</f>
        <v>216000</v>
      </c>
      <c r="M3">
        <f t="shared" ref="M3:M7" si="2">(3*0.000000062885*(J3:J10^2)*(H3:H10^2))/(2*25.0733)</f>
        <v>3.6424563240913641</v>
      </c>
      <c r="N3">
        <f t="shared" ref="N3:N7" si="3">M3:M10*1000</f>
        <v>3642.456324091364</v>
      </c>
    </row>
    <row r="4" spans="1:15" x14ac:dyDescent="0.3">
      <c r="G4" s="1">
        <v>2</v>
      </c>
      <c r="H4" s="1">
        <v>71</v>
      </c>
      <c r="I4" s="1">
        <v>21.53</v>
      </c>
      <c r="J4" s="1">
        <v>513</v>
      </c>
      <c r="K4" s="5">
        <f t="shared" si="0"/>
        <v>4.1968810916179336E-2</v>
      </c>
      <c r="L4" s="5">
        <f t="shared" si="1"/>
        <v>357911</v>
      </c>
      <c r="M4">
        <f t="shared" si="2"/>
        <v>4.9908929524732484</v>
      </c>
      <c r="N4">
        <f t="shared" si="3"/>
        <v>4990.8929524732484</v>
      </c>
    </row>
    <row r="5" spans="1:15" x14ac:dyDescent="0.3">
      <c r="G5" s="1">
        <v>3</v>
      </c>
      <c r="H5" s="1">
        <v>84</v>
      </c>
      <c r="I5" s="1">
        <v>21.56</v>
      </c>
      <c r="J5" s="1">
        <v>405</v>
      </c>
      <c r="K5" s="5">
        <f t="shared" si="0"/>
        <v>5.3234567901234563E-2</v>
      </c>
      <c r="L5" s="5">
        <f t="shared" si="1"/>
        <v>592704</v>
      </c>
      <c r="M5">
        <f t="shared" si="2"/>
        <v>4.3540703908540159</v>
      </c>
      <c r="N5">
        <f t="shared" si="3"/>
        <v>4354.0703908540163</v>
      </c>
    </row>
    <row r="6" spans="1:15" x14ac:dyDescent="0.3">
      <c r="G6" s="1">
        <v>4</v>
      </c>
      <c r="H6" s="1">
        <v>92</v>
      </c>
      <c r="I6" s="1">
        <v>22.94</v>
      </c>
      <c r="J6" s="1">
        <v>331.9</v>
      </c>
      <c r="K6" s="5">
        <f t="shared" si="0"/>
        <v>6.9117203977101541E-2</v>
      </c>
      <c r="L6" s="5">
        <f t="shared" si="1"/>
        <v>778688</v>
      </c>
      <c r="M6">
        <f t="shared" si="2"/>
        <v>3.5076559338569551</v>
      </c>
      <c r="N6">
        <f t="shared" si="3"/>
        <v>3507.655933856955</v>
      </c>
    </row>
    <row r="7" spans="1:15" x14ac:dyDescent="0.3">
      <c r="G7" s="1">
        <v>5</v>
      </c>
      <c r="H7" s="1">
        <v>97</v>
      </c>
      <c r="I7" s="1">
        <v>23.55</v>
      </c>
      <c r="J7" s="1">
        <v>280.97000000000003</v>
      </c>
      <c r="K7" s="5">
        <f t="shared" si="0"/>
        <v>8.3816777591913721E-2</v>
      </c>
      <c r="L7" s="5">
        <f t="shared" si="1"/>
        <v>912673</v>
      </c>
      <c r="M7">
        <f t="shared" si="2"/>
        <v>2.7944104632440632</v>
      </c>
      <c r="N7">
        <f t="shared" si="3"/>
        <v>2794.4104632440631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06F8-B1E7-477C-9081-6D30F41C8B2E}">
  <dimension ref="A1:O7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59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58</v>
      </c>
      <c r="B2" s="6">
        <v>3.8532999999999999</v>
      </c>
      <c r="C2" s="6">
        <v>25.02</v>
      </c>
      <c r="D2" s="6">
        <v>45</v>
      </c>
      <c r="E2" s="10">
        <v>6.1369600000000004E-8</v>
      </c>
      <c r="F2" s="6">
        <v>2.273E-2</v>
      </c>
      <c r="G2" s="8" t="s">
        <v>9</v>
      </c>
      <c r="H2" s="6">
        <v>47.5</v>
      </c>
      <c r="I2" s="6">
        <v>10.36</v>
      </c>
      <c r="J2" s="6">
        <v>554.37</v>
      </c>
      <c r="K2" s="9">
        <f>I2:I9/J2:J9</f>
        <v>1.8687879935782959E-2</v>
      </c>
      <c r="L2" s="9">
        <f>H2:H9^3</f>
        <v>107171.875</v>
      </c>
      <c r="M2" s="9">
        <f>(3*0.0000000613696*(J2:J9^2)*(H2:H9^2))/(2*25.02)</f>
        <v>2.5511964735871708</v>
      </c>
      <c r="N2" s="9">
        <f>M2:M9*1000</f>
        <v>2551.1964735871707</v>
      </c>
      <c r="O2">
        <f>AVERAGE(N3:N7)</f>
        <v>3892.5707846388168</v>
      </c>
    </row>
    <row r="3" spans="1:15" x14ac:dyDescent="0.3">
      <c r="G3" s="1">
        <v>1</v>
      </c>
      <c r="H3" s="1">
        <v>56</v>
      </c>
      <c r="I3" s="1">
        <v>20.2</v>
      </c>
      <c r="J3" s="1">
        <v>506.3</v>
      </c>
      <c r="K3">
        <f t="shared" ref="K3:K7" si="0">I3:I10/J3:J10</f>
        <v>3.9897294094410424E-2</v>
      </c>
      <c r="L3">
        <f t="shared" ref="L3:L7" si="1">H3:H10^3</f>
        <v>175616</v>
      </c>
      <c r="M3">
        <f t="shared" ref="M3:M7" si="2">(3*0.0000000613696*(J3:J10^2)*(H3:H10^2))/(2*25.02)</f>
        <v>2.9576661783473424</v>
      </c>
      <c r="N3">
        <f t="shared" ref="N3:N7" si="3">M3:M10*1000</f>
        <v>2957.6661783473423</v>
      </c>
    </row>
    <row r="4" spans="1:15" x14ac:dyDescent="0.3">
      <c r="G4" s="1">
        <v>2</v>
      </c>
      <c r="H4" s="1">
        <v>73</v>
      </c>
      <c r="I4" s="1">
        <v>22.14</v>
      </c>
      <c r="J4" s="1">
        <v>528.70000000000005</v>
      </c>
      <c r="K4">
        <f t="shared" si="0"/>
        <v>4.1876300359372044E-2</v>
      </c>
      <c r="L4">
        <f t="shared" si="1"/>
        <v>389017</v>
      </c>
      <c r="M4">
        <f t="shared" si="2"/>
        <v>5.4805177336448514</v>
      </c>
      <c r="N4">
        <f t="shared" si="3"/>
        <v>5480.5177336448514</v>
      </c>
    </row>
    <row r="5" spans="1:15" x14ac:dyDescent="0.3">
      <c r="G5" s="1">
        <v>3</v>
      </c>
      <c r="H5" s="1">
        <v>86</v>
      </c>
      <c r="I5" s="1">
        <v>22.23</v>
      </c>
      <c r="J5" s="1">
        <v>419.1</v>
      </c>
      <c r="K5">
        <f t="shared" si="0"/>
        <v>5.3042233357193984E-2</v>
      </c>
      <c r="L5">
        <f t="shared" si="1"/>
        <v>636056</v>
      </c>
      <c r="M5">
        <f t="shared" si="2"/>
        <v>4.7795770868234602</v>
      </c>
      <c r="N5">
        <f t="shared" si="3"/>
        <v>4779.5770868234604</v>
      </c>
    </row>
    <row r="6" spans="1:15" x14ac:dyDescent="0.3">
      <c r="G6" s="1">
        <v>4</v>
      </c>
      <c r="H6" s="1">
        <v>91</v>
      </c>
      <c r="I6" s="1">
        <v>23.28</v>
      </c>
      <c r="J6" s="1">
        <v>338.4</v>
      </c>
      <c r="K6">
        <f t="shared" si="0"/>
        <v>6.8794326241134754E-2</v>
      </c>
      <c r="L6">
        <f t="shared" si="1"/>
        <v>753571</v>
      </c>
      <c r="M6">
        <f t="shared" si="2"/>
        <v>3.4889981541567541</v>
      </c>
      <c r="N6">
        <f t="shared" si="3"/>
        <v>3488.998154156754</v>
      </c>
    </row>
    <row r="7" spans="1:15" x14ac:dyDescent="0.3">
      <c r="G7" s="1">
        <v>5</v>
      </c>
      <c r="H7" s="1">
        <v>96</v>
      </c>
      <c r="I7" s="1">
        <v>24.02</v>
      </c>
      <c r="J7" s="1">
        <v>285.10000000000002</v>
      </c>
      <c r="K7">
        <f t="shared" si="0"/>
        <v>8.4251139950894421E-2</v>
      </c>
      <c r="L7">
        <f t="shared" si="1"/>
        <v>884736</v>
      </c>
      <c r="M7">
        <f t="shared" si="2"/>
        <v>2.7560947702216749</v>
      </c>
      <c r="N7">
        <f t="shared" si="3"/>
        <v>2756.0947702216749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7340-881B-47D3-A1DA-0C20BD0B2963}">
  <dimension ref="A1:O6"/>
  <sheetViews>
    <sheetView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1.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61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60</v>
      </c>
      <c r="B2" s="6">
        <v>3.8666999999999998</v>
      </c>
      <c r="C2" s="6">
        <v>25.05</v>
      </c>
      <c r="D2" s="6">
        <v>57</v>
      </c>
      <c r="E2" s="10">
        <v>8.6099400000000004E-8</v>
      </c>
      <c r="F2" s="6">
        <v>1.7579999999999998E-2</v>
      </c>
      <c r="G2" s="8" t="s">
        <v>9</v>
      </c>
      <c r="H2" s="6">
        <v>57</v>
      </c>
      <c r="I2" s="6">
        <v>12.56</v>
      </c>
      <c r="J2" s="6">
        <v>543.20000000000005</v>
      </c>
      <c r="K2" s="9">
        <f>I2:I9/J2:J9</f>
        <v>2.312223858615611E-2</v>
      </c>
      <c r="L2" s="9">
        <f>H2:H9^3</f>
        <v>185193</v>
      </c>
      <c r="M2" s="9">
        <f>(3*0.0000000860994*(J2:J9^2)*(H2:H9^2))/(2*25.05)</f>
        <v>4.9425706708148356</v>
      </c>
      <c r="N2" s="9">
        <f>M2:M9*1000</f>
        <v>4942.5706708148355</v>
      </c>
      <c r="O2">
        <f>AVERAGE(N3:N6)</f>
        <v>4209.6974586263477</v>
      </c>
    </row>
    <row r="3" spans="1:15" x14ac:dyDescent="0.3">
      <c r="G3" s="1">
        <v>1</v>
      </c>
      <c r="H3" s="1">
        <v>71</v>
      </c>
      <c r="I3" s="1">
        <v>21.64</v>
      </c>
      <c r="J3" s="1">
        <v>433.7</v>
      </c>
      <c r="K3">
        <f t="shared" ref="K3:K6" si="0">I3:I10/J3:J10</f>
        <v>4.9896241641687808E-2</v>
      </c>
      <c r="L3">
        <f t="shared" ref="L3:L6" si="1">H3:H10^3</f>
        <v>357911</v>
      </c>
      <c r="M3">
        <f t="shared" ref="M3:M6" si="2">(3*0.0000000860994*(J3:J10^2)*(H3:H10^2))/(2*25.05)</f>
        <v>4.888540253056588</v>
      </c>
      <c r="N3">
        <f t="shared" ref="N3:N6" si="3">M3:M10*1000</f>
        <v>4888.540253056588</v>
      </c>
    </row>
    <row r="4" spans="1:15" x14ac:dyDescent="0.3">
      <c r="G4" s="1">
        <v>2</v>
      </c>
      <c r="H4" s="1">
        <v>83</v>
      </c>
      <c r="I4" s="1">
        <v>22.83</v>
      </c>
      <c r="J4" s="1">
        <v>353</v>
      </c>
      <c r="K4">
        <f t="shared" si="0"/>
        <v>6.4674220963172796E-2</v>
      </c>
      <c r="L4">
        <f t="shared" si="1"/>
        <v>571787</v>
      </c>
      <c r="M4">
        <f t="shared" si="2"/>
        <v>4.4257741657041549</v>
      </c>
      <c r="N4">
        <f t="shared" si="3"/>
        <v>4425.7741657041552</v>
      </c>
    </row>
    <row r="5" spans="1:15" x14ac:dyDescent="0.3">
      <c r="G5" s="1">
        <v>3</v>
      </c>
      <c r="H5" s="1">
        <v>93</v>
      </c>
      <c r="I5" s="1">
        <v>25.44</v>
      </c>
      <c r="J5" s="1">
        <v>298</v>
      </c>
      <c r="K5">
        <f t="shared" si="0"/>
        <v>8.5369127516778526E-2</v>
      </c>
      <c r="L5">
        <f t="shared" si="1"/>
        <v>804357</v>
      </c>
      <c r="M5">
        <f t="shared" si="2"/>
        <v>3.959880490785773</v>
      </c>
      <c r="N5">
        <f t="shared" si="3"/>
        <v>3959.880490785773</v>
      </c>
    </row>
    <row r="6" spans="1:15" x14ac:dyDescent="0.3">
      <c r="G6" s="1">
        <v>4</v>
      </c>
      <c r="H6" s="1">
        <v>96</v>
      </c>
      <c r="I6" s="1">
        <v>26.26</v>
      </c>
      <c r="J6" s="1">
        <v>273.89999999999998</v>
      </c>
      <c r="K6">
        <f t="shared" si="0"/>
        <v>9.587440671778022E-2</v>
      </c>
      <c r="L6">
        <f t="shared" si="1"/>
        <v>884736</v>
      </c>
      <c r="M6">
        <f t="shared" si="2"/>
        <v>3.5645949249588731</v>
      </c>
      <c r="N6">
        <f t="shared" si="3"/>
        <v>3564.594924958873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391D-2AB2-4850-B5AC-FA2554A20828}">
  <dimension ref="A1:O8"/>
  <sheetViews>
    <sheetView topLeftCell="B1" workbookViewId="0">
      <selection activeCell="O3" sqref="O3"/>
    </sheetView>
  </sheetViews>
  <sheetFormatPr defaultRowHeight="14" x14ac:dyDescent="0.3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4140625" bestFit="1" customWidth="1"/>
    <col min="6" max="6" width="8.1640625" bestFit="1" customWidth="1"/>
    <col min="7" max="7" width="9.5" bestFit="1" customWidth="1"/>
    <col min="8" max="8" width="16.08203125" bestFit="1" customWidth="1"/>
    <col min="9" max="9" width="17" bestFit="1" customWidth="1"/>
    <col min="10" max="10" width="7.9140625" bestFit="1" customWidth="1"/>
    <col min="11" max="11" width="13.25" bestFit="1" customWidth="1"/>
    <col min="12" max="12" width="10.83203125" bestFit="1" customWidth="1"/>
    <col min="13" max="14" width="12.33203125" bestFit="1" customWidth="1"/>
    <col min="15" max="15" width="12.08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2" t="s">
        <v>63</v>
      </c>
      <c r="H1" s="2" t="s">
        <v>5</v>
      </c>
      <c r="I1" s="2" t="s">
        <v>6</v>
      </c>
      <c r="J1" s="2" t="s">
        <v>7</v>
      </c>
      <c r="K1" s="1" t="s">
        <v>28</v>
      </c>
      <c r="L1" s="2" t="s">
        <v>29</v>
      </c>
      <c r="M1" s="1" t="s">
        <v>32</v>
      </c>
      <c r="N1" s="1" t="s">
        <v>33</v>
      </c>
      <c r="O1" s="1" t="s">
        <v>86</v>
      </c>
    </row>
    <row r="2" spans="1:15" x14ac:dyDescent="0.3">
      <c r="A2" s="6" t="s">
        <v>62</v>
      </c>
      <c r="B2" s="6">
        <v>3.84</v>
      </c>
      <c r="C2" s="6">
        <v>25</v>
      </c>
      <c r="D2" s="6">
        <v>61</v>
      </c>
      <c r="E2" s="10">
        <v>7.9580800000000005E-8</v>
      </c>
      <c r="F2" s="6">
        <v>2.5989999999999999E-2</v>
      </c>
      <c r="G2" s="8" t="s">
        <v>9</v>
      </c>
      <c r="H2" s="6">
        <v>61</v>
      </c>
      <c r="I2" s="6">
        <v>12.75</v>
      </c>
      <c r="J2" s="6">
        <v>538.29999999999995</v>
      </c>
      <c r="K2" s="9">
        <f>I2:I9/J2:J9</f>
        <v>2.3685677131710943E-2</v>
      </c>
      <c r="L2" s="9">
        <f>H2:H9^3</f>
        <v>226981</v>
      </c>
      <c r="M2" s="9">
        <f>(3*0.0000000795808*(J2:J9^2)*(H2:H9^2))/(2*25)</f>
        <v>5.1483490141349</v>
      </c>
      <c r="N2" s="9">
        <f>M2:M9*1000</f>
        <v>5148.3490141349002</v>
      </c>
      <c r="O2">
        <f>AVERAGE(N3:N8)</f>
        <v>3491.1541607574873</v>
      </c>
    </row>
    <row r="3" spans="1:15" x14ac:dyDescent="0.3">
      <c r="G3" s="1">
        <v>1</v>
      </c>
      <c r="H3" s="1">
        <v>71</v>
      </c>
      <c r="I3" s="1">
        <v>21.24</v>
      </c>
      <c r="J3" s="1">
        <v>409.33</v>
      </c>
      <c r="K3">
        <f t="shared" ref="K3:K8" si="0">I3:I10/J3:J10</f>
        <v>5.1889673368675636E-2</v>
      </c>
      <c r="L3">
        <f t="shared" ref="L3:L8" si="1">H3:H10^3</f>
        <v>357911</v>
      </c>
      <c r="M3">
        <f t="shared" ref="M3:M8" si="2">(3*0.0000000795808*(J3:J10^2)*(H3:H10^2))/(2*25)</f>
        <v>4.0329552161105964</v>
      </c>
      <c r="N3">
        <f t="shared" ref="N3:N8" si="3">M3:M10*1000</f>
        <v>4032.9552161105962</v>
      </c>
    </row>
    <row r="4" spans="1:15" x14ac:dyDescent="0.3">
      <c r="G4" s="1">
        <v>2</v>
      </c>
      <c r="H4" s="1">
        <v>78</v>
      </c>
      <c r="I4" s="1">
        <v>22.81</v>
      </c>
      <c r="J4" s="1">
        <v>341.2</v>
      </c>
      <c r="K4">
        <f t="shared" si="0"/>
        <v>6.6852286049237986E-2</v>
      </c>
      <c r="L4">
        <f t="shared" si="1"/>
        <v>474552</v>
      </c>
      <c r="M4">
        <f t="shared" si="2"/>
        <v>3.3819470320608458</v>
      </c>
      <c r="N4">
        <f t="shared" si="3"/>
        <v>3381.9470320608457</v>
      </c>
    </row>
    <row r="5" spans="1:15" x14ac:dyDescent="0.3">
      <c r="G5" s="1">
        <v>3</v>
      </c>
      <c r="H5" s="1">
        <v>84</v>
      </c>
      <c r="I5" s="1">
        <v>23.09</v>
      </c>
      <c r="J5" s="1">
        <v>312.7</v>
      </c>
      <c r="K5">
        <f t="shared" si="0"/>
        <v>7.3840741925167888E-2</v>
      </c>
      <c r="L5">
        <f t="shared" si="1"/>
        <v>592704</v>
      </c>
      <c r="M5">
        <f t="shared" si="2"/>
        <v>3.2943814635890991</v>
      </c>
      <c r="N5">
        <f t="shared" si="3"/>
        <v>3294.381463589099</v>
      </c>
    </row>
    <row r="6" spans="1:15" x14ac:dyDescent="0.3">
      <c r="G6" s="1">
        <v>4</v>
      </c>
      <c r="H6" s="1">
        <v>92</v>
      </c>
      <c r="I6" s="1">
        <v>25.73</v>
      </c>
      <c r="J6" s="1">
        <v>293.8</v>
      </c>
      <c r="K6">
        <f t="shared" si="0"/>
        <v>8.757658270932607E-2</v>
      </c>
      <c r="L6">
        <f t="shared" si="1"/>
        <v>778688</v>
      </c>
      <c r="M6">
        <f t="shared" si="2"/>
        <v>3.4885004925740235</v>
      </c>
      <c r="N6">
        <f t="shared" si="3"/>
        <v>3488.5004925740236</v>
      </c>
    </row>
    <row r="7" spans="1:15" x14ac:dyDescent="0.3">
      <c r="G7" s="1">
        <v>5</v>
      </c>
      <c r="H7" s="1">
        <v>95</v>
      </c>
      <c r="I7" s="1">
        <v>25.91</v>
      </c>
      <c r="J7" s="1">
        <v>279.60000000000002</v>
      </c>
      <c r="K7">
        <f t="shared" si="0"/>
        <v>9.2668097281831174E-2</v>
      </c>
      <c r="L7">
        <f t="shared" si="1"/>
        <v>857375</v>
      </c>
      <c r="M7">
        <f t="shared" si="2"/>
        <v>3.3688455130437127</v>
      </c>
      <c r="N7">
        <f t="shared" si="3"/>
        <v>3368.8455130437128</v>
      </c>
    </row>
    <row r="8" spans="1:15" x14ac:dyDescent="0.3">
      <c r="G8" s="1">
        <v>6</v>
      </c>
      <c r="H8" s="1">
        <v>97</v>
      </c>
      <c r="I8" s="1">
        <v>27.26</v>
      </c>
      <c r="J8" s="1">
        <v>274.3</v>
      </c>
      <c r="K8">
        <f t="shared" si="0"/>
        <v>9.9380240612468099E-2</v>
      </c>
      <c r="L8">
        <f t="shared" si="1"/>
        <v>912673</v>
      </c>
      <c r="M8">
        <f t="shared" si="2"/>
        <v>3.3802952471666474</v>
      </c>
      <c r="N8">
        <f t="shared" si="3"/>
        <v>3380.2952471666476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G1S1</vt:lpstr>
      <vt:lpstr>G1S2</vt:lpstr>
      <vt:lpstr>G1S3</vt:lpstr>
      <vt:lpstr>G1S4</vt:lpstr>
      <vt:lpstr>G1S5</vt:lpstr>
      <vt:lpstr>G1S6</vt:lpstr>
      <vt:lpstr>G1S7</vt:lpstr>
      <vt:lpstr>G1S8</vt:lpstr>
      <vt:lpstr>G1S9</vt:lpstr>
      <vt:lpstr>G2S1</vt:lpstr>
      <vt:lpstr>G2S2</vt:lpstr>
      <vt:lpstr>G2S3</vt:lpstr>
      <vt:lpstr>G2S4</vt:lpstr>
      <vt:lpstr>G2S5</vt:lpstr>
      <vt:lpstr>G2S6</vt:lpstr>
      <vt:lpstr>G2S7</vt:lpstr>
      <vt:lpstr>G2S8</vt:lpstr>
      <vt:lpstr>G2S9</vt:lpstr>
      <vt:lpstr>G3S1</vt:lpstr>
      <vt:lpstr>G3S2</vt:lpstr>
      <vt:lpstr>G3S3</vt:lpstr>
      <vt:lpstr>G3S4</vt:lpstr>
      <vt:lpstr>G3S5</vt:lpstr>
      <vt:lpstr>G3S6</vt:lpstr>
      <vt:lpstr>G3S7</vt:lpstr>
      <vt:lpstr>G3S8</vt:lpstr>
      <vt:lpstr>G3S9</vt:lpstr>
      <vt:lpstr>G4S1</vt:lpstr>
      <vt:lpstr>G4S2</vt:lpstr>
      <vt:lpstr>G4S3</vt:lpstr>
      <vt:lpstr>G4S4</vt:lpstr>
      <vt:lpstr>G4S5</vt:lpstr>
      <vt:lpstr>G4S6</vt:lpstr>
      <vt:lpstr>G4S7</vt:lpstr>
      <vt:lpstr>G4S8</vt:lpstr>
      <vt:lpstr>G4S9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Linjie Dong</cp:lastModifiedBy>
  <dcterms:created xsi:type="dcterms:W3CDTF">2015-06-05T18:19:34Z</dcterms:created>
  <dcterms:modified xsi:type="dcterms:W3CDTF">2026-08-23T04:00:45Z</dcterms:modified>
</cp:coreProperties>
</file>